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yyorgarlik" sheetId="1" state="visible" r:id="rId3"/>
    <sheet name="Xulosa" sheetId="2" state="visible" r:id="rId4"/>
  </sheets>
  <definedNames>
    <definedName function="false" hidden="true" localSheetId="0" name="_xlnm._FilterDatabase" vbProcedure="false">Tayyorgarlik!$A$4:$I$32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<sst xmlns="http://schemas.openxmlformats.org/spreadsheetml/2006/main" count="164" uniqueCount="95">
  <si>
    <t xml:space="preserve">Kompleks davlat akkreditatsiyasi — tashqi baholashga tayyorgarlik rejasi (Savolnoma asosida)</t>
  </si>
  <si>
    <t xml:space="preserve">Sariq ustunlarni to‘ldiring: Holat (ro‘yxatdan tanlang), Muddat, Hujjat joyi/havola, Izoh. Qolgan ustunlar savolnomadan olingan. Eslatma: PDFda 22-raqam ikki marta takrorlangan — bu yerda ketma-ket 1–28 raqamlangan.</t>
  </si>
  <si>
    <t xml:space="preserve">№</t>
  </si>
  <si>
    <t xml:space="preserve">Bo‘lim</t>
  </si>
  <si>
    <t xml:space="preserve">O‘rganiladigan savol</t>
  </si>
  <si>
    <t xml:space="preserve">Tayyorlanadigan hujjatlar / dalillar</t>
  </si>
  <si>
    <t xml:space="preserve">Mas’ullar</t>
  </si>
  <si>
    <t xml:space="preserve">Holat</t>
  </si>
  <si>
    <t xml:space="preserve">Muddat</t>
  </si>
  <si>
    <t xml:space="preserve">Hujjat joyi / havola</t>
  </si>
  <si>
    <t xml:space="preserve">Izoh</t>
  </si>
  <si>
    <t xml:space="preserve">II. Kafedra va ta’lim dasturlari</t>
  </si>
  <si>
    <t xml:space="preserve">Ta’lim dasturini ishlab chiqish va yangilash bo‘yicha ishchi guruh tarkibi tasdiqlanganmi va yig‘ilish bayonnomalari mavjudmi?</t>
  </si>
  <si>
    <t xml:space="preserve">• Ishchi guruh tarkibi to‘g‘risidagi buyruq (raqami, sanasi)
• Yig‘ilishlar rejasi
• Har bir yig‘ilish bayonnomasi (imzolangan)
• Qarorlar ijrosi bo‘yicha ma’lumot</t>
  </si>
  <si>
    <t xml:space="preserve">Shuxratov Sh., Mamajonov I., Baydjanov B.</t>
  </si>
  <si>
    <t xml:space="preserve">Boshlanmagan</t>
  </si>
  <si>
    <t xml:space="preserve">Ta’lim dasturini qayta ko‘rib chiqishda ish beruvchilar, talabalar va bitiruvchilar ishtiroki hujjatlar bilan tasdiqlanganmi?</t>
  </si>
  <si>
    <t xml:space="preserve">• Ish beruvchilar bilan uchrashuv bayonnomalari, takliflar (xatlar)
• Talaba/bitiruvchi so‘rovnomalari va tahlili
• Takliflar asosida dasturga kiritilgan o‘zgarishlar ro‘yxati
• Kengash/kafedra yig‘ilishi bayonnomasi</t>
  </si>
  <si>
    <t xml:space="preserve">Mamajonov I., Turg‘unboyev Sh., Maxkamov I., Xamraqulov J., Isroilova D.</t>
  </si>
  <si>
    <t xml:space="preserve">Malaka talablari, o‘quv reja, fan dasturlari va kutilayotgan o‘quv natijalari o‘zaro muvofiq va tasdiqlanganmi?</t>
  </si>
  <si>
    <t xml:space="preserve">• Malaka talablari, o‘quv reja, fan dasturlari (tasdiq imzo/muhr bilan)
• O‘quv natijalari ↔ fanlar muvofiqlik matritsasi
• Kengash qarori (tasdiqlash)</t>
  </si>
  <si>
    <t xml:space="preserve">Abdumannopov M., Abdumamatov A.</t>
  </si>
  <si>
    <t xml:space="preserve">Professor-o‘qituvchilarning diplomlari va mutaxassisliklari biriktirilgan fanlarga mos keladimi?</t>
  </si>
  <si>
    <t xml:space="preserve">• Har bir o‘qituvchi: diplom nusxasi, ilmiy daraja/unvon hujjati
• O‘qituvchi ↔ fan ↔ mutaxassislik jadvali
• Malaka oshirish sertifikatlari (nomuvofiq holatlar uchun asos)</t>
  </si>
  <si>
    <t xml:space="preserve">Asosiy shtatdagi professor-o‘qituvchilar ulushi va ilmiy salohiyat hisob-kitoblari tasdiqlovchi hujjatlar bilan asoslanganmi?</t>
  </si>
  <si>
    <t xml:space="preserve">• Shtat jadvali, asosiy/o‘rindosh ro‘yxati, mehnat shartnomalari
• Ilmiy salohiyat hisob-kitobi (formula + manba)
• Ilmiy daraja diplomlari nusxalari
• HEMIS bilan solishtirilgan ma’lumot</t>
  </si>
  <si>
    <t xml:space="preserve">Axmedov B., Xalilov Q., Borotov A., Mirsodiqov A.</t>
  </si>
  <si>
    <t xml:space="preserve">Professor-o‘qituvchilarning shaxsiy ish rejalari tasdiqlanganmi va o‘quv yuklamalari belgilangan tartibda taqsimlanganmi?</t>
  </si>
  <si>
    <t xml:space="preserve">• Shaxsiy ish rejalari (kafedra mudiri tasdig‘i bilan)
• O‘quv yuklamasi taqsimoti (kafedra bayonnomasi)
• Yuklama bajarilishi hisoboti
• Dars jadvali bilan moslik</t>
  </si>
  <si>
    <t xml:space="preserve">Shamshiyev J., Soliyev I., Oripov A., Karimov O.</t>
  </si>
  <si>
    <t xml:space="preserve">Baholash mezonlari, nazorat savollari, yozma ishlarni baholash va apellyatsiya tartibining shaffofligi ta’minlanganmi?</t>
  </si>
  <si>
    <t xml:space="preserve">• Baholash nizomi va mezonlari (fan sillabuslarida)
• Nazorat savollari/test bazasi (tasdiqlangan)
• Yozma ishlar namunalari (baholangan, izohli)
• Apellyatsiya komissiyasi buyrug‘i, arizalar va bayonnomalar</t>
  </si>
  <si>
    <t xml:space="preserve">Akademik halollikni ta’minlash va plagiatning oldini olish mexanizmlari amalda ishlayaptimi?</t>
  </si>
  <si>
    <t xml:space="preserve">• Akademik halollik nizomi/kodeksi
• Antiplagiat tizimi (litsenziya/shartnoma) va tekshiruv hisobotlari
• Qoidabuzarlik holatlari bo‘yicha ko‘rilgan choralar
• Talabalar tanishtirilganligi (imzo varaqlari)</t>
  </si>
  <si>
    <t xml:space="preserve">Mamajonov I., Turg‘unboyev Sh., Maxkamov I., Xamraqulov J., Isroilova D., Turaxanov A.</t>
  </si>
  <si>
    <t xml:space="preserve">HEMIS/LMS tizimiga joylangan fan materiallari, topshiriqlar va baholash ma’lumotlari tasdiqlangan fan dasturlariga mos keladimi?</t>
  </si>
  <si>
    <t xml:space="preserve">• Har bir fan bo‘yicha LMS to‘liqlik tekshiruvi (checklist)
• Fan dasturi ↔ LMS mavzulari solishtirmasi
• HEMIS’dagi baholar ↔ qaydnomalar solishtirmasi
• Bo‘shliqlarni bartaraf etish rejasi</t>
  </si>
  <si>
    <t xml:space="preserve">Jo‘rayev V., Maxkamov I., Raximov Q.</t>
  </si>
  <si>
    <t xml:space="preserve">BMI va magistrlik dissertatsiyalari mavzulari, ilmiy rahbarlari va bajarilish holati rasmiylashtirilganmi?</t>
  </si>
  <si>
    <t xml:space="preserve">• Mavzular va rahbarlarni tasdiqlash buyrug‘i
• Kafedra bayonnomalari (mavzu muhokamasi)
• Bajarilish grafigi va monitoring
• Himoya bayonnomalari, antiplagiat natijalari</t>
  </si>
  <si>
    <t xml:space="preserve">Do‘smatov X., Djalolov B., Kadirov Sh., Sheraliyev B.</t>
  </si>
  <si>
    <t xml:space="preserve">III. O‘quv xonalari va moddiy-texnik baza</t>
  </si>
  <si>
    <t xml:space="preserve">Auditoriyalarning sig‘imi, inventar ro‘yxatlari va dars jadvali bo‘yicha foydalanish holati o‘zaro mos keladimi?</t>
  </si>
  <si>
    <t xml:space="preserve">• Auditoriya fondi pasporti (raqam, maydon, sig‘im)
• Inventar ro‘yxatlari
• Dars jadvali ↔ guruh soni ↔ sig‘im tahlili</t>
  </si>
  <si>
    <t xml:space="preserve">Borotov A., Mirsodiqov A.</t>
  </si>
  <si>
    <t xml:space="preserve">TTJ holati, shart-sharoitlari va talabalar uchun qulayliklarni joyiga chiqib o‘rganish</t>
  </si>
  <si>
    <t xml:space="preserve">• TTJ pasporti, joylar soni va bandligi
• Joylashtirilgan talabalar ro‘yxati
• Sanitariya, xavfsizlik dalolatnomalari
• Joyiga chiqib o‘rganish dalolatnomasi + fotosuratlar</t>
  </si>
  <si>
    <t xml:space="preserve">Rajabov O‘., Borotov A., Mirsodiqov A.</t>
  </si>
  <si>
    <t xml:space="preserve">O‘quv xonalarida yoritish, shamollatish, isitish va sanitariya sharoitlari talab darajasidami?</t>
  </si>
  <si>
    <t xml:space="preserve">• Xonalar ko‘rigi dalolatnomasi (har bir bino)
• SES xulosalari/dalolatnomalari
• Kamchiliklarni bartaraf etish rejasi va fotosuratlar</t>
  </si>
  <si>
    <t xml:space="preserve">Obidov M., Turg‘unboyev Sh., Sultonov D., Sheraliyev B., Ro‘ziqov J.</t>
  </si>
  <si>
    <t xml:space="preserve">Kompyuterlar, interaktiv panellar va internet tarmog‘i ishchi holatdami?</t>
  </si>
  <si>
    <t xml:space="preserve">• Kompyuter sinflari va jihozlar ro‘yxati (ishchi/nosoz)
• Internet shartnomasi, tezlik o‘lchovi
• Ta’mirlash/almashtirish jurnali</t>
  </si>
  <si>
    <t xml:space="preserve">Mullayev B.</t>
  </si>
  <si>
    <t xml:space="preserve">Laboratoriya pasportlari, jihozlar va inventar ro‘yxatlari hamda mas’ul xodimlarga oid hujjatlar mavjudmi?</t>
  </si>
  <si>
    <t xml:space="preserve">• Har bir laboratoriya pasporti
• Jihozlar inventar ro‘yxati
• Mas’ul xodim tayinlash buyrug‘i, lavozim yo‘riqnomasi</t>
  </si>
  <si>
    <t xml:space="preserve">Laboratoriya asbob-uskunalari ishchi holatdami va dars mashg‘ulotlarida foydalanish qayd etib boriladimi?</t>
  </si>
  <si>
    <t xml:space="preserve">• Jihozlardan foydalanish jurnali
• Laboratoriya ishlari ro‘yxati ↔ fan dasturi
• Nosoz jihozlar dalolatnomasi va ta’mir rejasi</t>
  </si>
  <si>
    <t xml:space="preserve">Reaktivlar va xavfli moddalarni hisobga olish, yorliqlash va xavfsiz saqlash talablari bajariladimi?</t>
  </si>
  <si>
    <t xml:space="preserve">• Reaktivlar hisobi jurnali (kirim/chiqim)
• Yorliqlar (nomi, sana, xavf belgisi)
• Saqlash joyi (shkaf, qulf), mas’ul shaxs buyrug‘i
• Muddati o‘tganlarni utilizatsiya dalolatnomasi</t>
  </si>
  <si>
    <t xml:space="preserve">Texnika xavfsizligi yo‘riqnomalari, yo‘riqlash jurnallari va shaxsiy himoya vositalari mavjudmi?</t>
  </si>
  <si>
    <t xml:space="preserve">• TX yo‘riqnomalari (har bir xonada osilgan)
• Yo‘riqlash jurnallari (talaba/xodim imzolari)
• Xalatlar, ko‘zoynak, qo‘lqop, aptechka</t>
  </si>
  <si>
    <t xml:space="preserve">Evakuatsiya yo‘laklari va yong‘in xavfsizligi vositalari belgilangan talablarga javob beradimi?</t>
  </si>
  <si>
    <t xml:space="preserve">• Evakuatsiya sxemalari (har qavatda)
• O‘t o‘chirgichlar, tekshiruv muddati yozuvi
• Yo‘laklar bo‘shligi, chiqish belgilari
• FVV/yong‘in xavfsizligi dalolatnomasi</t>
  </si>
  <si>
    <t xml:space="preserve">ARMda fanlarga mos adabiyotlar va elektron resurslar yetarlimi va foydalanish statistikasi yuritiladimi?</t>
  </si>
  <si>
    <t xml:space="preserve">• Fanlar ↔ adabiyotlar ta’minlanganlik jadvali
• Elektron baza obunalari/shartnomalari
• Foydalanish statistikasi (oylik)
• Fan dasturidagi adabiyotlar mavjudligi tekshiruvi</t>
  </si>
  <si>
    <t xml:space="preserve">Tojimamatov I., Tojaliyev A., Qurbonov M.</t>
  </si>
  <si>
    <t xml:space="preserve">Inklyuziv kirish yo‘laklari va alohida ta’lim ehtiyojlari bo‘lgan talabalar uchun moslashtirilgan sharoitlar mavjudmi?</t>
  </si>
  <si>
    <t xml:space="preserve">• Pandus, lift, maxsus hojatxona (fotosurat)
• Imkoniyati cheklangan talabalar ro‘yxati va ularga yaratilgan sharoit
• Inklyuziv ta’lim nizomi/chora-tadbirlar</t>
  </si>
  <si>
    <t xml:space="preserve">Qodirov H., Shamshiyev J.</t>
  </si>
  <si>
    <t xml:space="preserve">Tashqi ekspertlar ish faoliyati uchun xona, internet, taqdimot va videomuloqot jihozlari tayyormi?</t>
  </si>
  <si>
    <t xml:space="preserve">• Ajratilgan xona, kompyuter, printer, proyektor
• Internet/Wi-Fi, videomuloqot sinovi
• Hujjatlar papkasi (elektron + qog‘oz), mas’ul shaxs</t>
  </si>
  <si>
    <t xml:space="preserve">IV. Amaliyot va dual ta’lim</t>
  </si>
  <si>
    <t xml:space="preserve">Amaliyot bazalari bilan amaldagi shartnomalar tuzilganmi va talabalar taqsimoti rasmiylashtirilganmi?</t>
  </si>
  <si>
    <t xml:space="preserve">• Amaliyot bazalari bilan shartnomalar (amal muddati!)
• Talabalarni taqsimlash buyrug‘i
• Baza ↔ yo‘nalish ↔ talabalar soni jadvali</t>
  </si>
  <si>
    <t xml:space="preserve">Obidjonov U., Turaxanov A., Mamajonov I., Turg‘unboyev Sh., Maxkamov I., Xamraqulov J.</t>
  </si>
  <si>
    <t xml:space="preserve">Amaliyot dasturlari, rahbarlar, kundaliklar, hisobotlar va baholashga oid hujjatlar to‘liqmi?</t>
  </si>
  <si>
    <t xml:space="preserve">• Tasdiqlangan amaliyot dasturlari
• Rahbarlar tayinlash buyrug‘i
• Talaba kundaliklari va hisobotlari
• Baholash qaydnomalari, himoya bayonnomalari</t>
  </si>
  <si>
    <t xml:space="preserve">Amaliyot korxona va tashkilotlarida o‘quv natijalariga erishish uchun yetarli sharoitlar yaratilganmi?</t>
  </si>
  <si>
    <t xml:space="preserve">• Bazalar haqida ma’lumotnoma (jihoz, mutaxassislar)
• Amaliyot rahbarlarining xulosalari
• Talabalar fikri (so‘rovnoma)</t>
  </si>
  <si>
    <t xml:space="preserve">Dual ta’lim doirasida universitet, hamkor tashkilot va talaba o‘rtasidagi kelishuvlar hujjatlashtirilganmi?</t>
  </si>
  <si>
    <t xml:space="preserve">• Uch tomonlama shartnomalar
• Dual ta’lim nizomi, buyruq
• Talabalar ro‘yxati</t>
  </si>
  <si>
    <t xml:space="preserve">Dual ta’limda korxonada o‘tiladigan fanlar, soatlar, mentorlar va talabalar davomati bo‘yicha hujjatlar yuritiladimi?</t>
  </si>
  <si>
    <t xml:space="preserve">• Dual o‘quv reja (korxonadagi fanlar va soatlar)
• Mentorlar tayinlanishi (korxona buyrug‘i)
• Davomat jurnallari, mentor hisobotlari</t>
  </si>
  <si>
    <t xml:space="preserve">V. Talabalar so‘rovnomasi</t>
  </si>
  <si>
    <t xml:space="preserve">Talabalar o‘rtasida anonim so‘rovnoma (ta’lim sifati, o‘quv jarayoni, o‘qituvchilar faoliyati, sharoitlar, qoniqish darajasi) o‘tkazish va tahlil qilish</t>
  </si>
  <si>
    <t xml:space="preserve">• So‘rovnoma savollari (tasdiqlangan)
• O‘tkazish buyrug‘i/grafigi, qamrov (respondentlar soni)
• Natijalar tahlili (diagrammalar)
• Natijalar asosida chora-tadbirlar rejasi va kengashda muhokama</t>
  </si>
  <si>
    <t xml:space="preserve">Mamajonov I., Turg‘unboyev Sh., Maxkamov I., Xamraqulov J.</t>
  </si>
  <si>
    <t xml:space="preserve">Tayyorgarlik holati</t>
  </si>
  <si>
    <t xml:space="preserve">Jami</t>
  </si>
  <si>
    <t xml:space="preserve">Tayyor</t>
  </si>
  <si>
    <t xml:space="preserve">Jarayonda</t>
  </si>
  <si>
    <t xml:space="preserve">Muammo bor</t>
  </si>
  <si>
    <t xml:space="preserve">Tayyorlik %</t>
  </si>
  <si>
    <t xml:space="preserve">JAMI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</si>
</sst>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45"/>
    <col collapsed="false" customWidth="true" hidden="false" outlineLevel="0" max="4" min="4" style="0" width="60"/>
    <col collapsed="false" customWidth="true" hidden="false" outlineLevel="0" max="5" min="5" style="0" width="32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25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69.75" hidden="false" customHeight="true" outlineLevel="0" collapsed="false">
      <c r="A5" s="4" t="n">
        <v>1</v>
      </c>
      <c r="B5" s="4" t="s">
        <v>11</v>
      </c>
      <c r="C5" s="4" t="s">
        <v>12</v>
      </c>
      <c r="D5" s="4" t="s">
        <v>13</v>
      </c>
      <c r="E5" s="4" t="s">
        <v>14</v>
      </c>
      <c r="F5" s="5" t="s">
        <v>15</v>
      </c>
      <c r="G5" s="6"/>
      <c r="H5" s="5"/>
      <c r="I5" s="5"/>
    </row>
    <row r="6" customFormat="false" ht="69.75" hidden="false" customHeight="true" outlineLevel="0" collapsed="false">
      <c r="A6" s="4" t="n">
        <v>2</v>
      </c>
      <c r="B6" s="4" t="s">
        <v>11</v>
      </c>
      <c r="C6" s="4" t="s">
        <v>16</v>
      </c>
      <c r="D6" s="4" t="s">
        <v>17</v>
      </c>
      <c r="E6" s="4" t="s">
        <v>18</v>
      </c>
      <c r="F6" s="5" t="s">
        <v>15</v>
      </c>
      <c r="G6" s="6"/>
      <c r="H6" s="5"/>
      <c r="I6" s="5"/>
    </row>
    <row r="7" customFormat="false" ht="60" hidden="false" customHeight="true" outlineLevel="0" collapsed="false">
      <c r="A7" s="4" t="n">
        <v>3</v>
      </c>
      <c r="B7" s="4" t="s">
        <v>11</v>
      </c>
      <c r="C7" s="4" t="s">
        <v>19</v>
      </c>
      <c r="D7" s="4" t="s">
        <v>20</v>
      </c>
      <c r="E7" s="4" t="s">
        <v>21</v>
      </c>
      <c r="F7" s="5" t="s">
        <v>15</v>
      </c>
      <c r="G7" s="6"/>
      <c r="H7" s="5"/>
      <c r="I7" s="5"/>
    </row>
    <row r="8" customFormat="false" ht="60" hidden="false" customHeight="true" outlineLevel="0" collapsed="false">
      <c r="A8" s="4" t="n">
        <v>4</v>
      </c>
      <c r="B8" s="4" t="s">
        <v>11</v>
      </c>
      <c r="C8" s="4" t="s">
        <v>22</v>
      </c>
      <c r="D8" s="4" t="s">
        <v>23</v>
      </c>
      <c r="E8" s="4" t="s">
        <v>18</v>
      </c>
      <c r="F8" s="5" t="s">
        <v>15</v>
      </c>
      <c r="G8" s="6"/>
      <c r="H8" s="5"/>
      <c r="I8" s="5"/>
    </row>
    <row r="9" customFormat="false" ht="69.75" hidden="false" customHeight="true" outlineLevel="0" collapsed="false">
      <c r="A9" s="4" t="n">
        <v>5</v>
      </c>
      <c r="B9" s="4" t="s">
        <v>11</v>
      </c>
      <c r="C9" s="4" t="s">
        <v>24</v>
      </c>
      <c r="D9" s="4" t="s">
        <v>25</v>
      </c>
      <c r="E9" s="4" t="s">
        <v>26</v>
      </c>
      <c r="F9" s="5" t="s">
        <v>15</v>
      </c>
      <c r="G9" s="6"/>
      <c r="H9" s="5"/>
      <c r="I9" s="5"/>
    </row>
    <row r="10" customFormat="false" ht="69.75" hidden="false" customHeight="true" outlineLevel="0" collapsed="false">
      <c r="A10" s="4" t="n">
        <v>6</v>
      </c>
      <c r="B10" s="4" t="s">
        <v>11</v>
      </c>
      <c r="C10" s="4" t="s">
        <v>27</v>
      </c>
      <c r="D10" s="4" t="s">
        <v>28</v>
      </c>
      <c r="E10" s="4" t="s">
        <v>29</v>
      </c>
      <c r="F10" s="5" t="s">
        <v>15</v>
      </c>
      <c r="G10" s="6"/>
      <c r="H10" s="5"/>
      <c r="I10" s="5"/>
    </row>
    <row r="11" customFormat="false" ht="69.75" hidden="false" customHeight="true" outlineLevel="0" collapsed="false">
      <c r="A11" s="4" t="n">
        <v>7</v>
      </c>
      <c r="B11" s="4" t="s">
        <v>11</v>
      </c>
      <c r="C11" s="4" t="s">
        <v>30</v>
      </c>
      <c r="D11" s="4" t="s">
        <v>31</v>
      </c>
      <c r="E11" s="4" t="s">
        <v>18</v>
      </c>
      <c r="F11" s="5" t="s">
        <v>15</v>
      </c>
      <c r="G11" s="6"/>
      <c r="H11" s="5"/>
      <c r="I11" s="5"/>
    </row>
    <row r="12" customFormat="false" ht="69.75" hidden="false" customHeight="true" outlineLevel="0" collapsed="false">
      <c r="A12" s="4" t="n">
        <v>8</v>
      </c>
      <c r="B12" s="4" t="s">
        <v>11</v>
      </c>
      <c r="C12" s="4" t="s">
        <v>32</v>
      </c>
      <c r="D12" s="4" t="s">
        <v>33</v>
      </c>
      <c r="E12" s="4" t="s">
        <v>34</v>
      </c>
      <c r="F12" s="5" t="s">
        <v>15</v>
      </c>
      <c r="G12" s="6"/>
      <c r="H12" s="5"/>
      <c r="I12" s="5"/>
    </row>
    <row r="13" customFormat="false" ht="69.75" hidden="false" customHeight="true" outlineLevel="0" collapsed="false">
      <c r="A13" s="4" t="n">
        <v>9</v>
      </c>
      <c r="B13" s="4" t="s">
        <v>11</v>
      </c>
      <c r="C13" s="4" t="s">
        <v>35</v>
      </c>
      <c r="D13" s="4" t="s">
        <v>36</v>
      </c>
      <c r="E13" s="4" t="s">
        <v>37</v>
      </c>
      <c r="F13" s="5" t="s">
        <v>15</v>
      </c>
      <c r="G13" s="6"/>
      <c r="H13" s="5"/>
      <c r="I13" s="5"/>
    </row>
    <row r="14" customFormat="false" ht="69.75" hidden="false" customHeight="true" outlineLevel="0" collapsed="false">
      <c r="A14" s="4" t="n">
        <v>10</v>
      </c>
      <c r="B14" s="4" t="s">
        <v>11</v>
      </c>
      <c r="C14" s="4" t="s">
        <v>38</v>
      </c>
      <c r="D14" s="4" t="s">
        <v>39</v>
      </c>
      <c r="E14" s="4" t="s">
        <v>40</v>
      </c>
      <c r="F14" s="5" t="s">
        <v>15</v>
      </c>
      <c r="G14" s="6"/>
      <c r="H14" s="5"/>
      <c r="I14" s="5"/>
    </row>
    <row r="15" customFormat="false" ht="60" hidden="false" customHeight="true" outlineLevel="0" collapsed="false">
      <c r="A15" s="4" t="n">
        <v>11</v>
      </c>
      <c r="B15" s="4" t="s">
        <v>41</v>
      </c>
      <c r="C15" s="4" t="s">
        <v>42</v>
      </c>
      <c r="D15" s="4" t="s">
        <v>43</v>
      </c>
      <c r="E15" s="4" t="s">
        <v>44</v>
      </c>
      <c r="F15" s="5" t="s">
        <v>15</v>
      </c>
      <c r="G15" s="6"/>
      <c r="H15" s="5"/>
      <c r="I15" s="5"/>
    </row>
    <row r="16" customFormat="false" ht="69.75" hidden="false" customHeight="true" outlineLevel="0" collapsed="false">
      <c r="A16" s="4" t="n">
        <v>12</v>
      </c>
      <c r="B16" s="4" t="s">
        <v>41</v>
      </c>
      <c r="C16" s="4" t="s">
        <v>45</v>
      </c>
      <c r="D16" s="4" t="s">
        <v>46</v>
      </c>
      <c r="E16" s="4" t="s">
        <v>47</v>
      </c>
      <c r="F16" s="5" t="s">
        <v>15</v>
      </c>
      <c r="G16" s="6"/>
      <c r="H16" s="5"/>
      <c r="I16" s="5"/>
    </row>
    <row r="17" customFormat="false" ht="60" hidden="false" customHeight="true" outlineLevel="0" collapsed="false">
      <c r="A17" s="4" t="n">
        <v>13</v>
      </c>
      <c r="B17" s="4" t="s">
        <v>41</v>
      </c>
      <c r="C17" s="4" t="s">
        <v>48</v>
      </c>
      <c r="D17" s="4" t="s">
        <v>49</v>
      </c>
      <c r="E17" s="4" t="s">
        <v>50</v>
      </c>
      <c r="F17" s="5" t="s">
        <v>15</v>
      </c>
      <c r="G17" s="6"/>
      <c r="H17" s="5"/>
      <c r="I17" s="5"/>
    </row>
    <row r="18" customFormat="false" ht="60" hidden="false" customHeight="true" outlineLevel="0" collapsed="false">
      <c r="A18" s="4" t="n">
        <v>14</v>
      </c>
      <c r="B18" s="4" t="s">
        <v>41</v>
      </c>
      <c r="C18" s="4" t="s">
        <v>51</v>
      </c>
      <c r="D18" s="4" t="s">
        <v>52</v>
      </c>
      <c r="E18" s="4" t="s">
        <v>53</v>
      </c>
      <c r="F18" s="5" t="s">
        <v>15</v>
      </c>
      <c r="G18" s="6"/>
      <c r="H18" s="5"/>
      <c r="I18" s="5"/>
    </row>
    <row r="19" customFormat="false" ht="60" hidden="false" customHeight="true" outlineLevel="0" collapsed="false">
      <c r="A19" s="4" t="n">
        <v>15</v>
      </c>
      <c r="B19" s="4" t="s">
        <v>41</v>
      </c>
      <c r="C19" s="4" t="s">
        <v>54</v>
      </c>
      <c r="D19" s="4" t="s">
        <v>55</v>
      </c>
      <c r="E19" s="4" t="s">
        <v>50</v>
      </c>
      <c r="F19" s="5" t="s">
        <v>15</v>
      </c>
      <c r="G19" s="6"/>
      <c r="H19" s="5"/>
      <c r="I19" s="5"/>
    </row>
    <row r="20" customFormat="false" ht="60" hidden="false" customHeight="true" outlineLevel="0" collapsed="false">
      <c r="A20" s="4" t="n">
        <v>16</v>
      </c>
      <c r="B20" s="4" t="s">
        <v>41</v>
      </c>
      <c r="C20" s="4" t="s">
        <v>56</v>
      </c>
      <c r="D20" s="4" t="s">
        <v>57</v>
      </c>
      <c r="E20" s="4" t="s">
        <v>50</v>
      </c>
      <c r="F20" s="5" t="s">
        <v>15</v>
      </c>
      <c r="G20" s="6"/>
      <c r="H20" s="5"/>
      <c r="I20" s="5"/>
    </row>
    <row r="21" customFormat="false" ht="69.75" hidden="false" customHeight="true" outlineLevel="0" collapsed="false">
      <c r="A21" s="4" t="n">
        <v>17</v>
      </c>
      <c r="B21" s="4" t="s">
        <v>41</v>
      </c>
      <c r="C21" s="4" t="s">
        <v>58</v>
      </c>
      <c r="D21" s="4" t="s">
        <v>59</v>
      </c>
      <c r="E21" s="4" t="s">
        <v>50</v>
      </c>
      <c r="F21" s="5" t="s">
        <v>15</v>
      </c>
      <c r="G21" s="6"/>
      <c r="H21" s="5"/>
      <c r="I21" s="5"/>
    </row>
    <row r="22" customFormat="false" ht="60" hidden="false" customHeight="true" outlineLevel="0" collapsed="false">
      <c r="A22" s="4" t="n">
        <v>18</v>
      </c>
      <c r="B22" s="4" t="s">
        <v>41</v>
      </c>
      <c r="C22" s="4" t="s">
        <v>60</v>
      </c>
      <c r="D22" s="4" t="s">
        <v>61</v>
      </c>
      <c r="E22" s="4" t="s">
        <v>50</v>
      </c>
      <c r="F22" s="5" t="s">
        <v>15</v>
      </c>
      <c r="G22" s="6"/>
      <c r="H22" s="5"/>
      <c r="I22" s="5"/>
    </row>
    <row r="23" customFormat="false" ht="69.75" hidden="false" customHeight="true" outlineLevel="0" collapsed="false">
      <c r="A23" s="4" t="n">
        <v>19</v>
      </c>
      <c r="B23" s="4" t="s">
        <v>41</v>
      </c>
      <c r="C23" s="4" t="s">
        <v>62</v>
      </c>
      <c r="D23" s="4" t="s">
        <v>63</v>
      </c>
      <c r="E23" s="4" t="s">
        <v>50</v>
      </c>
      <c r="F23" s="5" t="s">
        <v>15</v>
      </c>
      <c r="G23" s="6"/>
      <c r="H23" s="5"/>
      <c r="I23" s="5"/>
    </row>
    <row r="24" customFormat="false" ht="69.75" hidden="false" customHeight="true" outlineLevel="0" collapsed="false">
      <c r="A24" s="4" t="n">
        <v>20</v>
      </c>
      <c r="B24" s="4" t="s">
        <v>41</v>
      </c>
      <c r="C24" s="4" t="s">
        <v>64</v>
      </c>
      <c r="D24" s="4" t="s">
        <v>65</v>
      </c>
      <c r="E24" s="4" t="s">
        <v>66</v>
      </c>
      <c r="F24" s="5" t="s">
        <v>15</v>
      </c>
      <c r="G24" s="6"/>
      <c r="H24" s="5"/>
      <c r="I24" s="5"/>
    </row>
    <row r="25" customFormat="false" ht="60" hidden="false" customHeight="true" outlineLevel="0" collapsed="false">
      <c r="A25" s="4" t="n">
        <v>21</v>
      </c>
      <c r="B25" s="4" t="s">
        <v>41</v>
      </c>
      <c r="C25" s="4" t="s">
        <v>67</v>
      </c>
      <c r="D25" s="4" t="s">
        <v>68</v>
      </c>
      <c r="E25" s="4" t="s">
        <v>69</v>
      </c>
      <c r="F25" s="5" t="s">
        <v>15</v>
      </c>
      <c r="G25" s="6"/>
      <c r="H25" s="5"/>
      <c r="I25" s="5"/>
    </row>
    <row r="26" customFormat="false" ht="60" hidden="false" customHeight="true" outlineLevel="0" collapsed="false">
      <c r="A26" s="4" t="n">
        <v>22</v>
      </c>
      <c r="B26" s="4" t="s">
        <v>41</v>
      </c>
      <c r="C26" s="4" t="s">
        <v>70</v>
      </c>
      <c r="D26" s="4" t="s">
        <v>71</v>
      </c>
      <c r="E26" s="4" t="s">
        <v>14</v>
      </c>
      <c r="F26" s="5" t="s">
        <v>15</v>
      </c>
      <c r="G26" s="6"/>
      <c r="H26" s="5"/>
      <c r="I26" s="5"/>
    </row>
    <row r="27" customFormat="false" ht="60" hidden="false" customHeight="true" outlineLevel="0" collapsed="false">
      <c r="A27" s="4" t="n">
        <v>23</v>
      </c>
      <c r="B27" s="4" t="s">
        <v>72</v>
      </c>
      <c r="C27" s="4" t="s">
        <v>73</v>
      </c>
      <c r="D27" s="4" t="s">
        <v>74</v>
      </c>
      <c r="E27" s="4" t="s">
        <v>75</v>
      </c>
      <c r="F27" s="5" t="s">
        <v>15</v>
      </c>
      <c r="G27" s="6"/>
      <c r="H27" s="5"/>
      <c r="I27" s="5"/>
    </row>
    <row r="28" customFormat="false" ht="69.75" hidden="false" customHeight="true" outlineLevel="0" collapsed="false">
      <c r="A28" s="4" t="n">
        <v>24</v>
      </c>
      <c r="B28" s="4" t="s">
        <v>72</v>
      </c>
      <c r="C28" s="4" t="s">
        <v>76</v>
      </c>
      <c r="D28" s="4" t="s">
        <v>77</v>
      </c>
      <c r="E28" s="4" t="s">
        <v>75</v>
      </c>
      <c r="F28" s="5" t="s">
        <v>15</v>
      </c>
      <c r="G28" s="6"/>
      <c r="H28" s="5"/>
      <c r="I28" s="5"/>
    </row>
    <row r="29" customFormat="false" ht="60" hidden="false" customHeight="true" outlineLevel="0" collapsed="false">
      <c r="A29" s="4" t="n">
        <v>25</v>
      </c>
      <c r="B29" s="4" t="s">
        <v>72</v>
      </c>
      <c r="C29" s="4" t="s">
        <v>78</v>
      </c>
      <c r="D29" s="4" t="s">
        <v>79</v>
      </c>
      <c r="E29" s="4" t="s">
        <v>75</v>
      </c>
      <c r="F29" s="5" t="s">
        <v>15</v>
      </c>
      <c r="G29" s="6"/>
      <c r="H29" s="5"/>
      <c r="I29" s="5"/>
    </row>
    <row r="30" customFormat="false" ht="60" hidden="false" customHeight="true" outlineLevel="0" collapsed="false">
      <c r="A30" s="4" t="n">
        <v>26</v>
      </c>
      <c r="B30" s="4" t="s">
        <v>72</v>
      </c>
      <c r="C30" s="4" t="s">
        <v>80</v>
      </c>
      <c r="D30" s="4" t="s">
        <v>81</v>
      </c>
      <c r="E30" s="4" t="s">
        <v>75</v>
      </c>
      <c r="F30" s="5" t="s">
        <v>15</v>
      </c>
      <c r="G30" s="6"/>
      <c r="H30" s="5"/>
      <c r="I30" s="5"/>
    </row>
    <row r="31" customFormat="false" ht="60" hidden="false" customHeight="true" outlineLevel="0" collapsed="false">
      <c r="A31" s="4" t="n">
        <v>27</v>
      </c>
      <c r="B31" s="4" t="s">
        <v>72</v>
      </c>
      <c r="C31" s="4" t="s">
        <v>82</v>
      </c>
      <c r="D31" s="4" t="s">
        <v>83</v>
      </c>
      <c r="E31" s="4" t="s">
        <v>75</v>
      </c>
      <c r="F31" s="5" t="s">
        <v>15</v>
      </c>
      <c r="G31" s="6"/>
      <c r="H31" s="5"/>
      <c r="I31" s="5"/>
    </row>
    <row r="32" customFormat="false" ht="69.75" hidden="false" customHeight="true" outlineLevel="0" collapsed="false">
      <c r="A32" s="4" t="n">
        <v>28</v>
      </c>
      <c r="B32" s="4" t="s">
        <v>84</v>
      </c>
      <c r="C32" s="4" t="s">
        <v>85</v>
      </c>
      <c r="D32" s="4" t="s">
        <v>86</v>
      </c>
      <c r="E32" s="4" t="s">
        <v>87</v>
      </c>
      <c r="F32" s="5" t="s">
        <v>15</v>
      </c>
      <c r="G32" s="6"/>
      <c r="H32" s="5"/>
      <c r="I32" s="5"/>
    </row>
  </sheetData>
  <autoFilter ref="A4:I32"/>
  <mergeCells count="1">
    <mergeCell ref="A2:I2"/>
  </mergeCells>
  <conditionalFormatting sqref="F5:F32">
    <cfRule type="cellIs" priority="2" operator="equal" aboveAverage="0" equalAverage="0" bottom="0" percent="0" rank="0" text="" dxfId="4">
      <formula>"Tayyor"</formula>
    </cfRule>
    <cfRule type="cellIs" priority="3" operator="equal" aboveAverage="0" equalAverage="0" bottom="0" percent="0" rank="0" text="" dxfId="5">
      <formula>"Jarayonda"</formula>
    </cfRule>
    <cfRule type="cellIs" priority="4" operator="equal" aboveAverage="0" equalAverage="0" bottom="0" percent="0" rank="0" text="" dxfId="6">
      <formula>"Muammo bor"</formula>
    </cfRule>
  </conditionalFormatting>
  <dataValidations count="1">
    <dataValidation allowBlank="true" errorStyle="stop" operator="between" showDropDown="false" showErrorMessage="false" showInputMessage="false" sqref="F5:F32" type="list">
      <formula1>"Tayyor,Jarayonda,Boshlanmagan,Muammo bor"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7" min="2" style="0" width="13"/>
  </cols>
  <sheetData>
    <row r="1" customFormat="false" ht="17.35" hidden="false" customHeight="false" outlineLevel="0" collapsed="false">
      <c r="A1" s="1" t="s">
        <v>88</v>
      </c>
    </row>
    <row r="3" customFormat="false" ht="15" hidden="false" customHeight="false" outlineLevel="0" collapsed="false">
      <c r="A3" s="7" t="s">
        <v>3</v>
      </c>
      <c r="B3" s="7" t="s">
        <v>89</v>
      </c>
      <c r="C3" s="7" t="s">
        <v>90</v>
      </c>
      <c r="D3" s="7" t="s">
        <v>91</v>
      </c>
      <c r="E3" s="7" t="s">
        <v>15</v>
      </c>
      <c r="F3" s="7" t="s">
        <v>92</v>
      </c>
      <c r="G3" s="7" t="s">
        <v>93</v>
      </c>
    </row>
    <row r="4" customFormat="false" ht="15" hidden="false" customHeight="false" outlineLevel="0" collapsed="false">
      <c r="A4" s="8" t="s">
        <v>11</v>
      </c>
      <c r="B4" s="8" t="n">
        <f aca="false">COUNTIF(Tayyorgarlik!$B$5:$B$32,A4)</f>
        <v>10</v>
      </c>
      <c r="C4" s="8" t="n">
        <f aca="false">COUNTIFS(Tayyorgarlik!$B$5:$B$32,$A4,Tayyorgarlik!$F$5:$F$32,"Tayyor")</f>
        <v>0</v>
      </c>
      <c r="D4" s="8" t="n">
        <f aca="false">COUNTIFS(Tayyorgarlik!$B$5:$B$32,$A4,Tayyorgarlik!$F$5:$F$32,"Jarayonda")</f>
        <v>0</v>
      </c>
      <c r="E4" s="8" t="n">
        <f aca="false">COUNTIFS(Tayyorgarlik!$B$5:$B$32,$A4,Tayyorgarlik!$F$5:$F$32,"Boshlanmagan")</f>
        <v>10</v>
      </c>
      <c r="F4" s="8" t="n">
        <f aca="false">COUNTIFS(Tayyorgarlik!$B$5:$B$32,$A4,Tayyorgarlik!$F$5:$F$32,"Muammo bor")</f>
        <v>0</v>
      </c>
      <c r="G4" s="9" t="n">
        <f aca="false">IF(B4=0,0,C4/B4)</f>
        <v>0</v>
      </c>
    </row>
    <row r="5" customFormat="false" ht="15" hidden="false" customHeight="false" outlineLevel="0" collapsed="false">
      <c r="A5" s="8" t="s">
        <v>41</v>
      </c>
      <c r="B5" s="8" t="n">
        <f aca="false">COUNTIF(Tayyorgarlik!$B$5:$B$32,A5)</f>
        <v>12</v>
      </c>
      <c r="C5" s="8" t="n">
        <f aca="false">COUNTIFS(Tayyorgarlik!$B$5:$B$32,$A5,Tayyorgarlik!$F$5:$F$32,"Tayyor")</f>
        <v>0</v>
      </c>
      <c r="D5" s="8" t="n">
        <f aca="false">COUNTIFS(Tayyorgarlik!$B$5:$B$32,$A5,Tayyorgarlik!$F$5:$F$32,"Jarayonda")</f>
        <v>0</v>
      </c>
      <c r="E5" s="8" t="n">
        <f aca="false">COUNTIFS(Tayyorgarlik!$B$5:$B$32,$A5,Tayyorgarlik!$F$5:$F$32,"Boshlanmagan")</f>
        <v>12</v>
      </c>
      <c r="F5" s="8" t="n">
        <f aca="false">COUNTIFS(Tayyorgarlik!$B$5:$B$32,$A5,Tayyorgarlik!$F$5:$F$32,"Muammo bor")</f>
        <v>0</v>
      </c>
      <c r="G5" s="9" t="n">
        <f aca="false">IF(B5=0,0,C5/B5)</f>
        <v>0</v>
      </c>
    </row>
    <row r="6" customFormat="false" ht="15" hidden="false" customHeight="false" outlineLevel="0" collapsed="false">
      <c r="A6" s="8" t="s">
        <v>72</v>
      </c>
      <c r="B6" s="8" t="n">
        <f aca="false">COUNTIF(Tayyorgarlik!$B$5:$B$32,A6)</f>
        <v>5</v>
      </c>
      <c r="C6" s="8" t="n">
        <f aca="false">COUNTIFS(Tayyorgarlik!$B$5:$B$32,$A6,Tayyorgarlik!$F$5:$F$32,"Tayyor")</f>
        <v>0</v>
      </c>
      <c r="D6" s="8" t="n">
        <f aca="false">COUNTIFS(Tayyorgarlik!$B$5:$B$32,$A6,Tayyorgarlik!$F$5:$F$32,"Jarayonda")</f>
        <v>0</v>
      </c>
      <c r="E6" s="8" t="n">
        <f aca="false">COUNTIFS(Tayyorgarlik!$B$5:$B$32,$A6,Tayyorgarlik!$F$5:$F$32,"Boshlanmagan")</f>
        <v>5</v>
      </c>
      <c r="F6" s="8" t="n">
        <f aca="false">COUNTIFS(Tayyorgarlik!$B$5:$B$32,$A6,Tayyorgarlik!$F$5:$F$32,"Muammo bor")</f>
        <v>0</v>
      </c>
      <c r="G6" s="9" t="n">
        <f aca="false">IF(B6=0,0,C6/B6)</f>
        <v>0</v>
      </c>
    </row>
    <row r="7" customFormat="false" ht="15" hidden="false" customHeight="false" outlineLevel="0" collapsed="false">
      <c r="A7" s="8" t="s">
        <v>84</v>
      </c>
      <c r="B7" s="8" t="n">
        <f aca="false">COUNTIF(Tayyorgarlik!$B$5:$B$32,A7)</f>
        <v>1</v>
      </c>
      <c r="C7" s="8" t="n">
        <f aca="false">COUNTIFS(Tayyorgarlik!$B$5:$B$32,$A7,Tayyorgarlik!$F$5:$F$32,"Tayyor")</f>
        <v>0</v>
      </c>
      <c r="D7" s="8" t="n">
        <f aca="false">COUNTIFS(Tayyorgarlik!$B$5:$B$32,$A7,Tayyorgarlik!$F$5:$F$32,"Jarayonda")</f>
        <v>0</v>
      </c>
      <c r="E7" s="8" t="n">
        <f aca="false">COUNTIFS(Tayyorgarlik!$B$5:$B$32,$A7,Tayyorgarlik!$F$5:$F$32,"Boshlanmagan")</f>
        <v>1</v>
      </c>
      <c r="F7" s="8" t="n">
        <f aca="false">COUNTIFS(Tayyorgarlik!$B$5:$B$32,$A7,Tayyorgarlik!$F$5:$F$32,"Muammo bor")</f>
        <v>0</v>
      </c>
      <c r="G7" s="9" t="n">
        <f aca="false">IF(B7=0,0,C7/B7)</f>
        <v>0</v>
      </c>
    </row>
    <row r="8" customFormat="false" ht="15" hidden="false" customHeight="false" outlineLevel="0" collapsed="false">
      <c r="A8" s="10" t="s">
        <v>94</v>
      </c>
      <c r="B8" s="10" t="n">
        <f aca="false">SUM(B4:B7)</f>
        <v>28</v>
      </c>
      <c r="C8" s="10" t="n">
        <f aca="false">SUM(C4:C7)</f>
        <v>0</v>
      </c>
      <c r="D8" s="10" t="n">
        <f aca="false">SUM(D4:D7)</f>
        <v>0</v>
      </c>
      <c r="E8" s="10" t="n">
        <f aca="false">SUM(E4:E7)</f>
        <v>28</v>
      </c>
      <c r="F8" s="10" t="n">
        <f aca="false">SUM(F4:F7)</f>
        <v>0</v>
      </c>
      <c r="G8" s="11" t="n">
        <f aca="false">IF(B8=0,0,C8/B8)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2026-10-19T07:35:32Z</dcterms:created>
  <dc:creator>openpyxl</dc:creator>
  <dc:description/>
  <dc:language>en-US</dc:language>
  <cp:lastModifiedBy/>
  <dcterms:modified xsi:type="dcterms:W3CDTF">2026-10-19T07:35:32Z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
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yyorgarlik" sheetId="1" state="visible" r:id="rId3"/>
    <sheet name="Xulosa" sheetId="2" state="visible" r:id="rId4"/>
    <sheet name="Hujjatlar reyestri" sheetId="3" state="visible" r:id="rId5"/>
    <sheet name="HEMIS solishtirish" sheetId="4" state="visible" r:id="rId6"/>
    <sheet name="LMS tekshiruvi" sheetId="5" state="visible" r:id="rId7"/>
    <sheet name="So‘rovnoma javoblari" sheetId="6" state="visible" r:id="rId8"/>
    <sheet name="So‘rovnoma tahlili" sheetId="7" state="visible" r:id="rId9"/>
  </sheets>
  <definedNames>
    <definedName function="false" hidden="true" localSheetId="2" name="_xlnm._FilterDatabase" vbProcedure="false">'Hujjatlar reyestri'!$A$4:$J$204</definedName>
    <definedName function="false" hidden="true" localSheetId="4" name="_xlnm._FilterDatabase" vbProcedure="false">'LMS tekshiruvi'!$A$4:$L$304</definedName>
    <definedName function="false" hidden="true" localSheetId="0" name="_xlnm._FilterDatabase" vbProcedure="false">Tayyorgarlik!$A$4:$I$32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O‘quv reja va fanlar tanlagan yo‘nalishim bo‘yicha kasbiy bilim olishimga mos keladi</t>
        </r>
      </text>
    </comment>
    <comment ref="F4" authorId="0">
      <text>
        <r>
          <rPr>
            <sz val="10"/>
            <rFont val="Arial"/>
            <family val="2"/>
          </rPr>
          <t xml:space="preserve">Har bir fan boshida sillabus (fan dasturi, baholash mezonlari, adabiyotlar) bilan tanishtirilaman</t>
        </r>
      </text>
    </comment>
    <comment ref="G4" authorId="0">
      <text>
        <r>
          <rPr>
            <sz val="10"/>
            <rFont val="Arial"/>
            <family val="2"/>
          </rPr>
          <t xml:space="preserve">Dars jadvali qulay tuzilgan va o‘zgarishlar haqida o‘z vaqtida xabar beriladi</t>
        </r>
      </text>
    </comment>
    <comment ref="H4" authorId="0">
      <text>
        <r>
          <rPr>
            <sz val="10"/>
            <rFont val="Arial"/>
            <family val="2"/>
          </rPr>
          <t xml:space="preserve">HEMIS/LMS tizimida fan materiallari va topshiriqlar to‘liq joylashtirilgan</t>
        </r>
      </text>
    </comment>
    <comment ref="I4" authorId="0">
      <text>
        <r>
          <rPr>
            <sz val="10"/>
            <rFont val="Arial"/>
            <family val="2"/>
          </rPr>
          <t xml:space="preserve">Tanlov fanlarini tanlash imkoniyati mavjud</t>
        </r>
      </text>
    </comment>
    <comment ref="J4" authorId="0">
      <text>
        <r>
          <rPr>
            <sz val="10"/>
            <rFont val="Arial"/>
            <family val="2"/>
          </rPr>
          <t xml:space="preserve">O‘qituvchilar fanni chuqur biladi va tushunarli tushuntiradi</t>
        </r>
      </text>
    </comment>
    <comment ref="K4" authorId="0">
      <text>
        <r>
          <rPr>
            <sz val="10"/>
            <rFont val="Arial"/>
            <family val="2"/>
          </rPr>
          <t xml:space="preserve">Darslarda zamonaviy va interaktiv usullardan foydalaniladi</t>
        </r>
      </text>
    </comment>
    <comment ref="L4" authorId="0">
      <text>
        <r>
          <rPr>
            <sz val="10"/>
            <rFont val="Arial"/>
            <family val="2"/>
          </rPr>
          <t xml:space="preserve">O‘qituvchilar darsga o‘z vaqtida keladi va dars to‘liq o‘tiladi</t>
        </r>
      </text>
    </comment>
    <comment ref="M4" authorId="0">
      <text>
        <r>
          <rPr>
            <sz val="10"/>
            <rFont val="Arial"/>
            <family val="2"/>
          </rPr>
          <t xml:space="preserve">Dars vaqtidan tashqari maslahat olish imkoniyati bor</t>
        </r>
      </text>
    </comment>
    <comment ref="N4" authorId="0">
      <text>
        <r>
          <rPr>
            <sz val="10"/>
            <rFont val="Arial"/>
            <family val="2"/>
          </rPr>
          <t xml:space="preserve">O‘qituvchilar talabalarga hurmat bilan munosabatda bo‘ladi</t>
        </r>
      </text>
    </comment>
    <comment ref="O4" authorId="0">
      <text>
        <r>
          <rPr>
            <sz val="10"/>
            <rFont val="Arial"/>
            <family val="2"/>
          </rPr>
          <t xml:space="preserve">Baholash mezonlari oldindan e’lon qilinadi va adolatli qo‘llaniladi</t>
        </r>
      </text>
    </comment>
    <comment ref="P4" authorId="0">
      <text>
        <r>
          <rPr>
            <sz val="10"/>
            <rFont val="Arial"/>
            <family val="2"/>
          </rPr>
          <t xml:space="preserve">Baholash natijalari va xatolarim haqida izoh beriladi</t>
        </r>
      </text>
    </comment>
    <comment ref="Q4" authorId="0">
      <text>
        <r>
          <rPr>
            <sz val="10"/>
            <rFont val="Arial"/>
            <family val="2"/>
          </rPr>
          <t xml:space="preserve">Apellyatsiya (bahodan norozilik) tartibini bilaman</t>
        </r>
      </text>
    </comment>
    <comment ref="R4" authorId="0">
      <text>
        <r>
          <rPr>
            <sz val="10"/>
            <rFont val="Arial"/>
            <family val="2"/>
          </rPr>
          <t xml:space="preserve">Universitetda ko‘chirmachilik va plagiatga qarshi talablar qat’iy</t>
        </r>
      </text>
    </comment>
    <comment ref="S4" authorId="0">
      <text>
        <r>
          <rPr>
            <sz val="10"/>
            <rFont val="Arial"/>
            <family val="2"/>
          </rPr>
          <t xml:space="preserve">Baholashda korrupsiya yoki tanish-bilishchilik holatlariga duch kelmadim</t>
        </r>
      </text>
    </comment>
    <comment ref="T4" authorId="0">
      <text>
        <r>
          <rPr>
            <sz val="10"/>
            <rFont val="Arial"/>
            <family val="2"/>
          </rPr>
          <t xml:space="preserve">Auditoriyalar toza, yorug‘, isitilgan va shamollatiladi</t>
        </r>
      </text>
    </comment>
    <comment ref="U4" authorId="0">
      <text>
        <r>
          <rPr>
            <sz val="10"/>
            <rFont val="Arial"/>
            <family val="2"/>
          </rPr>
          <t xml:space="preserve">Laboratoriya jihozlari ishchi holatda va amaliy mashg‘ulotlarda foydalaniladi</t>
        </r>
      </text>
    </comment>
    <comment ref="V4" authorId="0">
      <text>
        <r>
          <rPr>
            <sz val="10"/>
            <rFont val="Arial"/>
            <family val="2"/>
          </rPr>
          <t xml:space="preserve">Kompyuterlar va internet (Wi-Fi) o‘qish uchun yetarli</t>
        </r>
      </text>
    </comment>
    <comment ref="W4" authorId="0">
      <text>
        <r>
          <rPr>
            <sz val="10"/>
            <rFont val="Arial"/>
            <family val="2"/>
          </rPr>
          <t xml:space="preserve">Axborot-resurs markazida kerakli adabiyot va elektron resurslar mavjud</t>
        </r>
      </text>
    </comment>
    <comment ref="X4" authorId="0">
      <text>
        <r>
          <rPr>
            <sz val="10"/>
            <rFont val="Arial"/>
            <family val="2"/>
          </rPr>
          <t xml:space="preserve">Talabalar turar joyi (TTJ) sharoitlari qoniqarli (TTJda yashamasangiz – belgilamang)</t>
        </r>
      </text>
    </comment>
    <comment ref="Y4" authorId="0">
      <text>
        <r>
          <rPr>
            <sz val="10"/>
            <rFont val="Arial"/>
            <family val="2"/>
          </rPr>
          <t xml:space="preserve">Imkoniyati cheklangan talabalar uchun sharoitlar yaratilgan</t>
        </r>
      </text>
    </comment>
    <comment ref="Z4" authorId="0">
      <text>
        <r>
          <rPr>
            <sz val="10"/>
            <rFont val="Arial"/>
            <family val="2"/>
          </rPr>
          <t xml:space="preserve">Amaliyot bazasi yo‘nalishimga mos va foydali bo‘ldi</t>
        </r>
      </text>
    </comment>
    <comment ref="AA4" authorId="0">
      <text>
        <r>
          <rPr>
            <sz val="10"/>
            <rFont val="Arial"/>
            <family val="2"/>
          </rPr>
          <t xml:space="preserve">Amaliyot davomida rahbar (universitet va korxona) yordam berdi</t>
        </r>
      </text>
    </comment>
    <comment ref="AB4" authorId="0">
      <text>
        <r>
          <rPr>
            <sz val="10"/>
            <rFont val="Arial"/>
            <family val="2"/>
          </rPr>
          <t xml:space="preserve">Universitet ish beruvchilar bilan uchrashuvlar va bandlik bo‘yicha yordam ko‘rsatadi</t>
        </r>
      </text>
    </comment>
    <comment ref="AC4" authorId="0">
      <text>
        <r>
          <rPr>
            <sz val="10"/>
            <rFont val="Arial"/>
            <family val="2"/>
          </rPr>
          <t xml:space="preserve">Universitetda ta’lim olayotganimdan umuman qoniqaman</t>
        </r>
      </text>
    </comment>
    <comment ref="AD4" authorId="0">
      <text>
        <r>
          <rPr>
            <sz val="10"/>
            <rFont val="Arial"/>
            <family val="2"/>
          </rPr>
          <t xml:space="preserve">Ushbu universitetni do‘stlarimga tavsiya qilaman</t>
        </r>
      </text>
    </comment>
  </commentList>
</comments>
</file>

<file path=xl/sharedStrings.xml><?xml version="1.0" encoding="utf-8"?>
<sst xmlns="http://schemas.openxmlformats.org/spreadsheetml/2006/main" count="361" uniqueCount="231">
  <si>
    <t xml:space="preserve">Kompleks davlat akkreditatsiyasi — tashqi baholashga tayyorgarlik rejasi (Savolnoma asosida)</t>
  </si>
  <si>
    <t xml:space="preserve">Sariq ustunlarni to‘ldiring: Holat (ro‘yxatdan tanlang), Muddat, Hujjat joyi/havola, Izoh. Qolgan ustunlar savolnomadan olingan. Eslatma: PDFda 22-raqam ikki marta takrorlangan — bu yerda ketma-ket 1–28 raqamlangan.</t>
  </si>
  <si>
    <t xml:space="preserve">№</t>
  </si>
  <si>
    <t xml:space="preserve">Bo‘lim</t>
  </si>
  <si>
    <t xml:space="preserve">O‘rganiladigan savol</t>
  </si>
  <si>
    <t xml:space="preserve">Tayyorlanadigan hujjatlar / dalillar</t>
  </si>
  <si>
    <t xml:space="preserve">Mas’ullar</t>
  </si>
  <si>
    <t xml:space="preserve">Holat</t>
  </si>
  <si>
    <t xml:space="preserve">Muddat</t>
  </si>
  <si>
    <t xml:space="preserve">Hujjat joyi / havola</t>
  </si>
  <si>
    <t xml:space="preserve">Izoh</t>
  </si>
  <si>
    <t xml:space="preserve">II. Kafedra va ta’lim dasturlari</t>
  </si>
  <si>
    <t xml:space="preserve">Ta’lim dasturini ishlab chiqish va yangilash bo‘yicha ishchi guruh tarkibi tasdiqlanganmi va yig‘ilish bayonnomalari mavjudmi?</t>
  </si>
  <si>
    <t xml:space="preserve">• Ishchi guruh tarkibi to‘g‘risidagi buyruq (raqami, sanasi)
• Yig‘ilishlar rejasi
• Har bir yig‘ilish bayonnomasi (imzolangan)
• Qarorlar ijrosi bo‘yicha ma’lumot</t>
  </si>
  <si>
    <t xml:space="preserve">Shuxratov Sh., Mamajonov I., Baydjanov B.</t>
  </si>
  <si>
    <t xml:space="preserve">Boshlanmagan</t>
  </si>
  <si>
    <t xml:space="preserve">Ta’lim dasturini qayta ko‘rib chiqishda ish beruvchilar, talabalar va bitiruvchilar ishtiroki hujjatlar bilan tasdiqlanganmi?</t>
  </si>
  <si>
    <t xml:space="preserve">• Ish beruvchilar bilan uchrashuv bayonnomalari, takliflar (xatlar)
• Talaba/bitiruvchi so‘rovnomalari va tahlili
• Takliflar asosida dasturga kiritilgan o‘zgarishlar ro‘yxati
• Kengash/kafedra yig‘ilishi bayonnomasi</t>
  </si>
  <si>
    <t xml:space="preserve">Mamajonov I., Turg‘unboyev Sh., Maxkamov I., Xamraqulov J., Isroilova D.</t>
  </si>
  <si>
    <t xml:space="preserve">Malaka talablari, o‘quv reja, fan dasturlari va kutilayotgan o‘quv natijalari o‘zaro muvofiq va tasdiqlanganmi?</t>
  </si>
  <si>
    <t xml:space="preserve">• Malaka talablari, o‘quv reja, fan dasturlari (tasdiq imzo/muhr bilan)
• O‘quv natijalari ↔ fanlar muvofiqlik matritsasi
• Kengash qarori (tasdiqlash)</t>
  </si>
  <si>
    <t xml:space="preserve">Abdumannopov M., Abdumamatov A.</t>
  </si>
  <si>
    <t xml:space="preserve">Professor-o‘qituvchilarning diplomlari va mutaxassisliklari biriktirilgan fanlarga mos keladimi?</t>
  </si>
  <si>
    <t xml:space="preserve">• Har bir o‘qituvchi: diplom nusxasi, ilmiy daraja/unvon hujjati
• O‘qituvchi ↔ fan ↔ mutaxassislik jadvali
• Malaka oshirish sertifikatlari (nomuvofiq holatlar uchun asos)</t>
  </si>
  <si>
    <t xml:space="preserve">Asosiy shtatdagi professor-o‘qituvchilar ulushi va ilmiy salohiyat hisob-kitoblari tasdiqlovchi hujjatlar bilan asoslanganmi?</t>
  </si>
  <si>
    <t xml:space="preserve">• Shtat jadvali, asosiy/o‘rindosh ro‘yxati, mehnat shartnomalari
• Ilmiy salohiyat hisob-kitobi (formula + manba)
• Ilmiy daraja diplomlari nusxalari
• HEMIS bilan solishtirilgan ma’lumot</t>
  </si>
  <si>
    <t xml:space="preserve">Axmedov B., Xalilov Q., Borotov A., Mirsodiqov A.</t>
  </si>
  <si>
    <t xml:space="preserve">Professor-o‘qituvchilarning shaxsiy ish rejalari tasdiqlanganmi va o‘quv yuklamalari belgilangan tartibda taqsimlanganmi?</t>
  </si>
  <si>
    <t xml:space="preserve">• Shaxsiy ish rejalari (kafedra mudiri tasdig‘i bilan)
• O‘quv yuklamasi taqsimoti (kafedra bayonnomasi)
• Yuklama bajarilishi hisoboti
• Dars jadvali bilan moslik</t>
  </si>
  <si>
    <t xml:space="preserve">Shamshiyev J., Soliyev I., Oripov A., Karimov O.</t>
  </si>
  <si>
    <t xml:space="preserve">Baholash mezonlari, nazorat savollari, yozma ishlarni baholash va apellyatsiya tartibining shaffofligi ta’minlanganmi?</t>
  </si>
  <si>
    <t xml:space="preserve">• Baholash nizomi va mezonlari (fan sillabuslarida)
• Nazorat savollari/test bazasi (tasdiqlangan)
• Yozma ishlar namunalari (baholangan, izohli)
• Apellyatsiya komissiyasi buyrug‘i, arizalar va bayonnomalar</t>
  </si>
  <si>
    <t xml:space="preserve">Akademik halollikni ta’minlash va plagiatning oldini olish mexanizmlari amalda ishlayaptimi?</t>
  </si>
  <si>
    <t xml:space="preserve">• Akademik halollik nizomi/kodeksi
• Antiplagiat tizimi (litsenziya/shartnoma) va tekshiruv hisobotlari
• Qoidabuzarlik holatlari bo‘yicha ko‘rilgan choralar
• Talabalar tanishtirilganligi (imzo varaqlari)</t>
  </si>
  <si>
    <t xml:space="preserve">Mamajonov I., Turg‘unboyev Sh., Maxkamov I., Xamraqulov J., Isroilova D., Turaxanov A.</t>
  </si>
  <si>
    <t xml:space="preserve">HEMIS/LMS tizimiga joylangan fan materiallari, topshiriqlar va baholash ma’lumotlari tasdiqlangan fan dasturlariga mos keladimi?</t>
  </si>
  <si>
    <t xml:space="preserve">• Har bir fan bo‘yicha LMS to‘liqlik tekshiruvi (checklist)
• Fan dasturi ↔ LMS mavzulari solishtirmasi
• HEMIS’dagi baholar ↔ qaydnomalar solishtirmasi
• Bo‘shliqlarni bartaraf etish rejasi</t>
  </si>
  <si>
    <t xml:space="preserve">Jo‘rayev V., Maxkamov I., Raximov Q.</t>
  </si>
  <si>
    <t xml:space="preserve">BMI va magistrlik dissertatsiyalari mavzulari, ilmiy rahbarlari va bajarilish holati rasmiylashtirilganmi?</t>
  </si>
  <si>
    <t xml:space="preserve">• Mavzular va rahbarlarni tasdiqlash buyrug‘i
• Kafedra bayonnomalari (mavzu muhokamasi)
• Bajarilish grafigi va monitoring
• Himoya bayonnomalari, antiplagiat natijalari</t>
  </si>
  <si>
    <t xml:space="preserve">Do‘smatov X., Djalolov B., Kadirov Sh., Sheraliyev B.</t>
  </si>
  <si>
    <t xml:space="preserve">III. O‘quv xonalari va moddiy-texnik baza</t>
  </si>
  <si>
    <t xml:space="preserve">Auditoriyalarning sig‘imi, inventar ro‘yxatlari va dars jadvali bo‘yicha foydalanish holati o‘zaro mos keladimi?</t>
  </si>
  <si>
    <t xml:space="preserve">• Auditoriya fondi pasporti (raqam, maydon, sig‘im)
• Inventar ro‘yxatlari
• Dars jadvali ↔ guruh soni ↔ sig‘im tahlili</t>
  </si>
  <si>
    <t xml:space="preserve">Borotov A., Mirsodiqov A.</t>
  </si>
  <si>
    <t xml:space="preserve">TTJ holati, shart-sharoitlari va talabalar uchun qulayliklarni joyiga chiqib o‘rganish</t>
  </si>
  <si>
    <t xml:space="preserve">• TTJ pasporti, joylar soni va bandligi
• Joylashtirilgan talabalar ro‘yxati
• Sanitariya, xavfsizlik dalolatnomalari
• Joyiga chiqib o‘rganish dalolatnomasi + fotosuratlar</t>
  </si>
  <si>
    <t xml:space="preserve">Rajabov O‘., Borotov A., Mirsodiqov A.</t>
  </si>
  <si>
    <t xml:space="preserve">O‘quv xonalarida yoritish, shamollatish, isitish va sanitariya sharoitlari talab darajasidami?</t>
  </si>
  <si>
    <t xml:space="preserve">• Xonalar ko‘rigi dalolatnomasi (har bir bino)
• SES xulosalari/dalolatnomalari
• Kamchiliklarni bartaraf etish rejasi va fotosuratlar</t>
  </si>
  <si>
    <t xml:space="preserve">Obidov M., Turg‘unboyev Sh., Sultonov D., Sheraliyev B., Ro‘ziqov J.</t>
  </si>
  <si>
    <t xml:space="preserve">Kompyuterlar, interaktiv panellar va internet tarmog‘i ishchi holatdami?</t>
  </si>
  <si>
    <t xml:space="preserve">• Kompyuter sinflari va jihozlar ro‘yxati (ishchi/nosoz)
• Internet shartnomasi, tezlik o‘lchovi
• Ta’mirlash/almashtirish jurnali</t>
  </si>
  <si>
    <t xml:space="preserve">Mullayev B.</t>
  </si>
  <si>
    <t xml:space="preserve">Laboratoriya pasportlari, jihozlar va inventar ro‘yxatlari hamda mas’ul xodimlarga oid hujjatlar mavjudmi?</t>
  </si>
  <si>
    <t xml:space="preserve">• Har bir laboratoriya pasporti
• Jihozlar inventar ro‘yxati
• Mas’ul xodim tayinlash buyrug‘i, lavozim yo‘riqnomasi</t>
  </si>
  <si>
    <t xml:space="preserve">Laboratoriya asbob-uskunalari ishchi holatdami va dars mashg‘ulotlarida foydalanish qayd etib boriladimi?</t>
  </si>
  <si>
    <t xml:space="preserve">• Jihozlardan foydalanish jurnali
• Laboratoriya ishlari ro‘yxati ↔ fan dasturi
• Nosoz jihozlar dalolatnomasi va ta’mir rejasi</t>
  </si>
  <si>
    <t xml:space="preserve">Reaktivlar va xavfli moddalarni hisobga olish, yorliqlash va xavfsiz saqlash talablari bajariladimi?</t>
  </si>
  <si>
    <t xml:space="preserve">• Reaktivlar hisobi jurnali (kirim/chiqim)
• Yorliqlar (nomi, sana, xavf belgisi)
• Saqlash joyi (shkaf, qulf), mas’ul shaxs buyrug‘i
• Muddati o‘tganlarni utilizatsiya dalolatnomasi</t>
  </si>
  <si>
    <t xml:space="preserve">Texnika xavfsizligi yo‘riqnomalari, yo‘riqlash jurnallari va shaxsiy himoya vositalari mavjudmi?</t>
  </si>
  <si>
    <t xml:space="preserve">• TX yo‘riqnomalari (har bir xonada osilgan)
• Yo‘riqlash jurnallari (talaba/xodim imzolari)
• Xalatlar, ko‘zoynak, qo‘lqop, aptechka</t>
  </si>
  <si>
    <t xml:space="preserve">Evakuatsiya yo‘laklari va yong‘in xavfsizligi vositalari belgilangan talablarga javob beradimi?</t>
  </si>
  <si>
    <t xml:space="preserve">• Evakuatsiya sxemalari (har qavatda)
• O‘t o‘chirgichlar, tekshiruv muddati yozuvi
• Yo‘laklar bo‘shligi, chiqish belgilari
• FVV/yong‘in xavfsizligi dalolatnomasi</t>
  </si>
  <si>
    <t xml:space="preserve">ARMda fanlarga mos adabiyotlar va elektron resurslar yetarlimi va foydalanish statistikasi yuritiladimi?</t>
  </si>
  <si>
    <t xml:space="preserve">• Fanlar ↔ adabiyotlar ta’minlanganlik jadvali
• Elektron baza obunalari/shartnomalari
• Foydalanish statistikasi (oylik)
• Fan dasturidagi adabiyotlar mavjudligi tekshiruvi</t>
  </si>
  <si>
    <t xml:space="preserve">Tojimamatov I., Tojaliyev A., Qurbonov M.</t>
  </si>
  <si>
    <t xml:space="preserve">Inklyuziv kirish yo‘laklari va alohida ta’lim ehtiyojlari bo‘lgan talabalar uchun moslashtirilgan sharoitlar mavjudmi?</t>
  </si>
  <si>
    <t xml:space="preserve">• Pandus, lift, maxsus hojatxona (fotosurat)
• Imkoniyati cheklangan talabalar ro‘yxati va ularga yaratilgan sharoit
• Inklyuziv ta’lim nizomi/chora-tadbirlar</t>
  </si>
  <si>
    <t xml:space="preserve">Qodirov H., Shamshiyev J.</t>
  </si>
  <si>
    <t xml:space="preserve">Tashqi ekspertlar ish faoliyati uchun xona, internet, taqdimot va videomuloqot jihozlari tayyormi?</t>
  </si>
  <si>
    <t xml:space="preserve">• Ajratilgan xona, kompyuter, printer, proyektor
• Internet/Wi-Fi, videomuloqot sinovi
• Hujjatlar papkasi (elektron + qog‘oz), mas’ul shaxs</t>
  </si>
  <si>
    <t xml:space="preserve">IV. Amaliyot va dual ta’lim</t>
  </si>
  <si>
    <t xml:space="preserve">Amaliyot bazalari bilan amaldagi shartnomalar tuzilganmi va talabalar taqsimoti rasmiylashtirilganmi?</t>
  </si>
  <si>
    <t xml:space="preserve">• Amaliyot bazalari bilan shartnomalar (amal muddati!)
• Talabalarni taqsimlash buyrug‘i
• Baza ↔ yo‘nalish ↔ talabalar soni jadvali</t>
  </si>
  <si>
    <t xml:space="preserve">Obidjonov U., Turaxanov A., Mamajonov I., Turg‘unboyev Sh., Maxkamov I., Xamraqulov J.</t>
  </si>
  <si>
    <t xml:space="preserve">Amaliyot dasturlari, rahbarlar, kundaliklar, hisobotlar va baholashga oid hujjatlar to‘liqmi?</t>
  </si>
  <si>
    <t xml:space="preserve">• Tasdiqlangan amaliyot dasturlari
• Rahbarlar tayinlash buyrug‘i
• Talaba kundaliklari va hisobotlari
• Baholash qaydnomalari, himoya bayonnomalari</t>
  </si>
  <si>
    <t xml:space="preserve">Amaliyot korxona va tashkilotlarida o‘quv natijalariga erishish uchun yetarli sharoitlar yaratilganmi?</t>
  </si>
  <si>
    <t xml:space="preserve">• Bazalar haqida ma’lumotnoma (jihoz, mutaxassislar)
• Amaliyot rahbarlarining xulosalari
• Talabalar fikri (so‘rovnoma)</t>
  </si>
  <si>
    <t xml:space="preserve">Dual ta’lim doirasida universitet, hamkor tashkilot va talaba o‘rtasidagi kelishuvlar hujjatlashtirilganmi?</t>
  </si>
  <si>
    <t xml:space="preserve">• Uch tomonlama shartnomalar
• Dual ta’lim nizomi, buyruq
• Talabalar ro‘yxati</t>
  </si>
  <si>
    <t xml:space="preserve">Dual ta’limda korxonada o‘tiladigan fanlar, soatlar, mentorlar va talabalar davomati bo‘yicha hujjatlar yuritiladimi?</t>
  </si>
  <si>
    <t xml:space="preserve">• Dual o‘quv reja (korxonadagi fanlar va soatlar)
• Mentorlar tayinlanishi (korxona buyrug‘i)
• Davomat jurnallari, mentor hisobotlari</t>
  </si>
  <si>
    <t xml:space="preserve">V. Talabalar so‘rovnomasi</t>
  </si>
  <si>
    <t xml:space="preserve">Talabalar o‘rtasida anonim so‘rovnoma (ta’lim sifati, o‘quv jarayoni, o‘qituvchilar faoliyati, sharoitlar, qoniqish darajasi) o‘tkazish va tahlil qilish</t>
  </si>
  <si>
    <t xml:space="preserve">• So‘rovnoma savollari (tasdiqlangan)
• O‘tkazish buyrug‘i/grafigi, qamrov (respondentlar soni)
• Natijalar tahlili (diagrammalar)
• Natijalar asosida chora-tadbirlar rejasi va kengashda muhokama</t>
  </si>
  <si>
    <t xml:space="preserve">Mamajonov I., Turg‘unboyev Sh., Maxkamov I., Xamraqulov J.</t>
  </si>
  <si>
    <t xml:space="preserve">Tayyorgarlik holati</t>
  </si>
  <si>
    <t xml:space="preserve">Jami</t>
  </si>
  <si>
    <t xml:space="preserve">Tayyor</t>
  </si>
  <si>
    <t xml:space="preserve">Jarayonda</t>
  </si>
  <si>
    <t xml:space="preserve">Muammo bor</t>
  </si>
  <si>
    <t xml:space="preserve">Tayyorlik %</t>
  </si>
  <si>
    <t xml:space="preserve">JAMI</t>
  </si>
  <si>
    <t xml:space="preserve">Hujjatlar reyestri — rekvizitlar va amal muddati nazorati</t>
  </si>
  <si>
    <t xml:space="preserve">Har bir hujjatni bitta qatorga kiriting (sariq kataklar). «Nazorat» ustuni o‘zi hisoblanadi: raqam/sana yo‘q, imzo yoki muhr yo‘q bo‘lsa — «Rekvizit to‘liq emas»; amal muddati o‘tgan bo‘lsa — «Muddati o‘tgan»; 30 kundan kam qolgan bo‘lsa — ogohlantiradi. 5-qator — namuna, uni o‘chirib yuborishingiz mumkin.</t>
  </si>
  <si>
    <t xml:space="preserve">Savol №</t>
  </si>
  <si>
    <t xml:space="preserve">Hujjat nomi</t>
  </si>
  <si>
    <t xml:space="preserve">Raqami</t>
  </si>
  <si>
    <t xml:space="preserve">Sanasi</t>
  </si>
  <si>
    <t xml:space="preserve">Imzo bormi</t>
  </si>
  <si>
    <t xml:space="preserve">Muhr bormi</t>
  </si>
  <si>
    <t xml:space="preserve">Amal muddati (tugash sanasi)</t>
  </si>
  <si>
    <t xml:space="preserve">Papka</t>
  </si>
  <si>
    <t xml:space="preserve">Nazorat</t>
  </si>
  <si>
    <t xml:space="preserve">«Agrofirma» MChJ bilan amaliyot shartnomasi (NAMUNA)</t>
  </si>
  <si>
    <t xml:space="preserve">15/24</t>
  </si>
  <si>
    <t xml:space="preserve">Ha</t>
  </si>
  <si>
    <t xml:space="preserve">23_Amaliyot_shartnomalari</t>
  </si>
  <si>
    <t xml:space="preserve">Muddatini uzaytirish kerak</t>
  </si>
  <si>
    <t xml:space="preserve">Hujjatlar va HEMIS ma’lumotlarini solishtirish (5- va 9-savollar)</t>
  </si>
  <si>
    <t xml:space="preserve">B ustuniga — buyruq/shtat jadvali bo‘yicha, C ustuniga — HEMISdagi son. Farq 0 bo‘lmasa, ekspert savol beradi: sababini aniqlab, HEMISni yoki hujjatni tuzating. Ulushlar pastda avtomatik hisoblanadi; me’yor qiymatini amaldagi akkreditatsiya talablaridan olib kiriting.</t>
  </si>
  <si>
    <t xml:space="preserve">Ko‘rsatkich</t>
  </si>
  <si>
    <t xml:space="preserve">Hujjat bo‘yicha</t>
  </si>
  <si>
    <t xml:space="preserve">HEMIS bo‘yicha</t>
  </si>
  <si>
    <t xml:space="preserve">Farq</t>
  </si>
  <si>
    <t xml:space="preserve">Izoh / manba hujjat</t>
  </si>
  <si>
    <t xml:space="preserve">Professor-o‘qituvchilar jami (shtat birligi bo‘yicha, nafar)</t>
  </si>
  <si>
    <t xml:space="preserve">Asosiy shtatdagi professor-o‘qituvchilar</t>
  </si>
  <si>
    <t xml:space="preserve">Ichki o‘rindoshlar</t>
  </si>
  <si>
    <t xml:space="preserve">Tashqi o‘rindoshlar</t>
  </si>
  <si>
    <t xml:space="preserve">Soatbay asosida</t>
  </si>
  <si>
    <t xml:space="preserve">Fan doktorlari (DSc)</t>
  </si>
  <si>
    <t xml:space="preserve">Fan nomzodlari / PhD</t>
  </si>
  <si>
    <t xml:space="preserve">Professor unvonidagilar</t>
  </si>
  <si>
    <t xml:space="preserve">Dotsent unvonidagilar</t>
  </si>
  <si>
    <t xml:space="preserve">Talabalar — bakalavriat kunduzgi</t>
  </si>
  <si>
    <t xml:space="preserve">Talabalar — bakalavriat sirtqi/kechki</t>
  </si>
  <si>
    <t xml:space="preserve">Talabalar — magistratura</t>
  </si>
  <si>
    <t xml:space="preserve">Akademik ta’tildagilar</t>
  </si>
  <si>
    <t xml:space="preserve">Ta’lim dasturlari (yo‘nalishlar) soni</t>
  </si>
  <si>
    <t xml:space="preserve">Hisoblangan ulushlar</t>
  </si>
  <si>
    <t xml:space="preserve">Me’yor (kiriting)</t>
  </si>
  <si>
    <t xml:space="preserve">Holat (hujjat bo‘yicha)</t>
  </si>
  <si>
    <t xml:space="preserve">Hisoblash usuli</t>
  </si>
  <si>
    <t xml:space="preserve">Asosiy shtatdagi PO‘ ulushi</t>
  </si>
  <si>
    <t xml:space="preserve">Asosiy shtatdagilar ÷ jami PO‘</t>
  </si>
  <si>
    <t xml:space="preserve">Ilmiy salohiyat (DSc + PhD ulushi)</t>
  </si>
  <si>
    <t xml:space="preserve">(DSc + PhD) ÷ jami PO‘. Me’yoriy hujjatdagi aniq formulani tekshiring (shtat birligi yoki jismoniy shaxs bo‘yicha)</t>
  </si>
  <si>
    <t xml:space="preserve">Talaba / o‘qituvchi nisbati</t>
  </si>
  <si>
    <t xml:space="preserve">Jami talabalar ÷ jami PO‘</t>
  </si>
  <si>
    <t xml:space="preserve">HEMIS/LMS to‘liqlik tekshiruvi — har bir fan bo‘yicha (9-savol)</t>
  </si>
  <si>
    <t xml:space="preserve">Har bir fan uchun 6 ta bandni «Ha/Yo‘q» bilan belgilang. To‘liqlik foizi o‘zi hisoblanadi; 100% bo‘lmagan fanlar — bartaraf etish ro‘yxati.</t>
  </si>
  <si>
    <t xml:space="preserve">Fan nomi</t>
  </si>
  <si>
    <t xml:space="preserve">Kafedra</t>
  </si>
  <si>
    <t xml:space="preserve">O‘qituvchi</t>
  </si>
  <si>
    <t xml:space="preserve">Sillabus (tasdiqlangan)</t>
  </si>
  <si>
    <t xml:space="preserve">Ma’ruza matni / taqdimot</t>
  </si>
  <si>
    <t xml:space="preserve">Amaliy/seminar materiallari</t>
  </si>
  <si>
    <t xml:space="preserve">Mustaqil ish topshiriqlari</t>
  </si>
  <si>
    <t xml:space="preserve">Test / nazorat savollari</t>
  </si>
  <si>
    <t xml:space="preserve">HEMIS baholari = qaydnoma</t>
  </si>
  <si>
    <t xml:space="preserve">To‘liqlik</t>
  </si>
  <si>
    <t xml:space="preserve">Mas’ul</t>
  </si>
  <si>
    <t xml:space="preserve">Oliy matematika (NAMUNA)</t>
  </si>
  <si>
    <t xml:space="preserve">Matematika</t>
  </si>
  <si>
    <t xml:space="preserve">Abdumannopov M.</t>
  </si>
  <si>
    <t xml:space="preserve">Yo‘q</t>
  </si>
  <si>
    <t xml:space="preserve">Talabalar so‘rovnomasi — javoblar (28-savol)</t>
  </si>
  <si>
    <t xml:space="preserve">Har bir talaba anketasi — bitta qator. Savollarga 1–5 baho kiriting (1 — mutlaqo qo‘shilmayman, 5 — to‘liq qo‘shilaman); javob berilmagan bo‘lsa bo‘sh qoldiring. Google Forms ishlatsangiz, javoblarni shu tartibda nusxalab qo‘ying.</t>
  </si>
  <si>
    <t xml:space="preserve">Fakultet</t>
  </si>
  <si>
    <t xml:space="preserve">Kurs</t>
  </si>
  <si>
    <t xml:space="preserve">Ta’lim shakli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</si>
  <si>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</si>
  <si>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</si>
  <si>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</si>
  <si>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</si>
  <si>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</si>
  <si>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</si>
  <si>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</si>
  <si>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</si>
  <si>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</si>
  <si>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</si>
  <si>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</si>
  <si>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</si>
  <si>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</si>
  <si>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</si>
  <si>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</si>
  <si>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</si>
  <si>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</si>
  <si>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</si>
  <si>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</si>
  <si>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</si>
  <si>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</si>
  <si>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</si>
  <si>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</si>
  <si>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</si>
  <si>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</si>
  <si>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</si>
  <si>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Talabalar so‘rovnomasi — natijalar tahlili</t>
  </si>
  <si>
    <t xml:space="preserve">Avtomatik hisoblanadi. O‘rtacha baho 3,5 dan past yoki qoniqish 60% dan past bo‘lgan savollar «Chora kerak» deb belgilanadi — ular bo‘yicha chora-tadbirlar rejasini tuzing (ekspertlar aynan shuni so‘raydi).</t>
  </si>
  <si>
    <t xml:space="preserve">Respondentlar soni:</t>
  </si>
  <si>
    <t xml:space="preserve">Savol</t>
  </si>
  <si>
    <t xml:space="preserve">Javoblar soni</t>
  </si>
  <si>
    <t xml:space="preserve">O‘rtacha (1–5)</t>
  </si>
  <si>
    <t xml:space="preserve">Qoniqish % (4–5 ball)</t>
  </si>
  <si>
    <t xml:space="preserve">Xulosa</t>
  </si>
  <si>
    <t xml:space="preserve">A. Ta’lim dasturi va o‘quv jarayoni</t>
  </si>
  <si>
    <t xml:space="preserve">O‘quv reja va fanlar tanlagan yo‘nalishim bo‘yicha kasbiy bilim olishimga mos keladi</t>
  </si>
  <si>
    <t xml:space="preserve">Har bir fan boshida sillabus (fan dasturi, baholash mezonlari, adabiyotlar) bilan tanishtirilaman</t>
  </si>
  <si>
    <t xml:space="preserve">Dars jadvali qulay tuzilgan va o‘zgarishlar haqida o‘z vaqtida xabar beriladi</t>
  </si>
  <si>
    <t xml:space="preserve">HEMIS/LMS tizimida fan materiallari va topshiriqlar to‘liq joylashtirilgan</t>
  </si>
  <si>
    <t xml:space="preserve">Tanlov fanlarini tanlash imkoniyati mavjud</t>
  </si>
  <si>
    <t xml:space="preserve">B. Professor-o‘qituvchilar faoliyati</t>
  </si>
  <si>
    <t xml:space="preserve">O‘qituvchilar fanni chuqur biladi va tushunarli tushuntiradi</t>
  </si>
  <si>
    <t xml:space="preserve">Darslarda zamonaviy va interaktiv usullardan foydalaniladi</t>
  </si>
  <si>
    <t xml:space="preserve">O‘qituvchilar darsga o‘z vaqtida keladi va dars to‘liq o‘tiladi</t>
  </si>
  <si>
    <t xml:space="preserve">Dars vaqtidan tashqari maslahat olish imkoniyati bor</t>
  </si>
  <si>
    <t xml:space="preserve">O‘qituvchilar talabalarga hurmat bilan munosabatda bo‘ladi</t>
  </si>
  <si>
    <t xml:space="preserve">C. Baholash va akademik halollik</t>
  </si>
  <si>
    <t xml:space="preserve">Baholash mezonlari oldindan e’lon qilinadi va adolatli qo‘llaniladi</t>
  </si>
  <si>
    <t xml:space="preserve">Baholash natijalari va xatolarim haqida izoh beriladi</t>
  </si>
  <si>
    <t xml:space="preserve">Apellyatsiya (bahodan norozilik) tartibini bilaman</t>
  </si>
  <si>
    <t xml:space="preserve">Universitetda ko‘chirmachilik va plagiatga qarshi talablar qat’iy</t>
  </si>
  <si>
    <t xml:space="preserve">Baholashda korrupsiya yoki tanish-bilishchilik holatlariga duch kelmadim</t>
  </si>
  <si>
    <t xml:space="preserve">D. Shart-sharoitlar va moddiy-texnik baza</t>
  </si>
  <si>
    <t xml:space="preserve">Auditoriyalar toza, yorug‘, isitilgan va shamollatiladi</t>
  </si>
  <si>
    <t xml:space="preserve">Laboratoriya jihozlari ishchi holatda va amaliy mashg‘ulotlarda foydalaniladi</t>
  </si>
  <si>
    <t xml:space="preserve">Kompyuterlar va internet (Wi-Fi) o‘qish uchun yetarli</t>
  </si>
  <si>
    <t xml:space="preserve">Axborot-resurs markazida kerakli adabiyot va elektron resurslar mavjud</t>
  </si>
  <si>
    <t xml:space="preserve">Talabalar turar joyi (TTJ) sharoitlari qoniqarli (TTJda yashamasangiz – belgilamang)</t>
  </si>
  <si>
    <t xml:space="preserve">Imkoniyati cheklangan talabalar uchun sharoitlar yaratilgan</t>
  </si>
  <si>
    <t xml:space="preserve">E. Amaliyot va bandlik</t>
  </si>
  <si>
    <t xml:space="preserve">Amaliyot bazasi yo‘nalishimga mos va foydali bo‘ldi</t>
  </si>
  <si>
    <t xml:space="preserve">Amaliyot davomida rahbar (universitet va korxona) yordam berdi</t>
  </si>
  <si>
    <t xml:space="preserve">Universitet ish beruvchilar bilan uchrashuvlar va bandlik bo‘yicha yordam ko‘rsatadi</t>
  </si>
  <si>
    <t xml:space="preserve">F. Umumiy qoniqish</t>
  </si>
  <si>
    <t xml:space="preserve">Universitetda ta’lim olayotganimdan umuman qoniqaman</t>
  </si>
  <si>
    <t xml:space="preserve">Ushbu universitetni do‘stlarimga tavsiya qilaman</t>
  </si>
  <si>
    <t xml:space="preserve">Umumiy o‘rtacha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</si>
</sst>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%"/>
    <numFmt numFmtId="167" formatCode="0.0%"/>
    <numFmt numFmtId="168" formatCode="0.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9.75" hidden="false" customHeight="tru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5" t="s">
        <v>15</v>
      </c>
      <c r="G5" s="6"/>
      <c r="H5" s="5"/>
      <c r="I5" s="5"/>
    </row>
    <row r="6" customFormat="false" ht="69.75" hidden="false" customHeight="true" outlineLevel="0" collapsed="false">
      <c r="A6" s="4" t="n">
        <v>2</v>
      </c>
      <c r="B6" s="4" t="s">
        <v>11</v>
      </c>
      <c r="C6" s="4" t="s">
        <v>16</v>
      </c>
      <c r="D6" s="4" t="s">
        <v>17</v>
      </c>
      <c r="E6" s="4" t="s">
        <v>18</v>
      </c>
      <c r="F6" s="5" t="s">
        <v>15</v>
      </c>
      <c r="G6" s="6"/>
      <c r="H6" s="5"/>
      <c r="I6" s="5"/>
    </row>
    <row r="7" customFormat="false" ht="60" hidden="false" customHeight="true" outlineLevel="0" collapsed="false">
      <c r="A7" s="4" t="n">
        <v>3</v>
      </c>
      <c r="B7" s="4" t="s">
        <v>11</v>
      </c>
      <c r="C7" s="4" t="s">
        <v>19</v>
      </c>
      <c r="D7" s="4" t="s">
        <v>20</v>
      </c>
      <c r="E7" s="4" t="s">
        <v>21</v>
      </c>
      <c r="F7" s="5" t="s">
        <v>15</v>
      </c>
      <c r="G7" s="6"/>
      <c r="H7" s="5"/>
      <c r="I7" s="5"/>
    </row>
    <row r="8" customFormat="false" ht="60" hidden="false" customHeight="true" outlineLevel="0" collapsed="false">
      <c r="A8" s="4" t="n">
        <v>4</v>
      </c>
      <c r="B8" s="4" t="s">
        <v>11</v>
      </c>
      <c r="C8" s="4" t="s">
        <v>22</v>
      </c>
      <c r="D8" s="4" t="s">
        <v>23</v>
      </c>
      <c r="E8" s="4" t="s">
        <v>18</v>
      </c>
      <c r="F8" s="5" t="s">
        <v>15</v>
      </c>
      <c r="G8" s="6"/>
      <c r="H8" s="5"/>
      <c r="I8" s="5"/>
    </row>
    <row r="9" customFormat="false" ht="69.75" hidden="false" customHeight="true" outlineLevel="0" collapsed="false">
      <c r="A9" s="4" t="n">
        <v>5</v>
      </c>
      <c r="B9" s="4" t="s">
        <v>11</v>
      </c>
      <c r="C9" s="4" t="s">
        <v>24</v>
      </c>
      <c r="D9" s="4" t="s">
        <v>25</v>
      </c>
      <c r="E9" s="4" t="s">
        <v>26</v>
      </c>
      <c r="F9" s="5" t="s">
        <v>15</v>
      </c>
      <c r="G9" s="6"/>
      <c r="H9" s="5"/>
      <c r="I9" s="5"/>
    </row>
    <row r="10" customFormat="false" ht="69.75" hidden="false" customHeight="true" outlineLevel="0" collapsed="false">
      <c r="A10" s="4" t="n">
        <v>6</v>
      </c>
      <c r="B10" s="4" t="s">
        <v>11</v>
      </c>
      <c r="C10" s="4" t="s">
        <v>27</v>
      </c>
      <c r="D10" s="4" t="s">
        <v>28</v>
      </c>
      <c r="E10" s="4" t="s">
        <v>29</v>
      </c>
      <c r="F10" s="5" t="s">
        <v>15</v>
      </c>
      <c r="G10" s="6"/>
      <c r="H10" s="5"/>
      <c r="I10" s="5"/>
    </row>
    <row r="11" customFormat="false" ht="69.75" hidden="false" customHeight="true" outlineLevel="0" collapsed="false">
      <c r="A11" s="4" t="n">
        <v>7</v>
      </c>
      <c r="B11" s="4" t="s">
        <v>11</v>
      </c>
      <c r="C11" s="4" t="s">
        <v>30</v>
      </c>
      <c r="D11" s="4" t="s">
        <v>31</v>
      </c>
      <c r="E11" s="4" t="s">
        <v>18</v>
      </c>
      <c r="F11" s="5" t="s">
        <v>15</v>
      </c>
      <c r="G11" s="6"/>
      <c r="H11" s="5"/>
      <c r="I11" s="5"/>
    </row>
    <row r="12" customFormat="false" ht="69.75" hidden="false" customHeight="true" outlineLevel="0" collapsed="false">
      <c r="A12" s="4" t="n">
        <v>8</v>
      </c>
      <c r="B12" s="4" t="s">
        <v>11</v>
      </c>
      <c r="C12" s="4" t="s">
        <v>32</v>
      </c>
      <c r="D12" s="4" t="s">
        <v>33</v>
      </c>
      <c r="E12" s="4" t="s">
        <v>34</v>
      </c>
      <c r="F12" s="5" t="s">
        <v>15</v>
      </c>
      <c r="G12" s="6"/>
      <c r="H12" s="5"/>
      <c r="I12" s="5"/>
    </row>
    <row r="13" customFormat="false" ht="69.75" hidden="false" customHeight="true" outlineLevel="0" collapsed="false">
      <c r="A13" s="4" t="n">
        <v>9</v>
      </c>
      <c r="B13" s="4" t="s">
        <v>11</v>
      </c>
      <c r="C13" s="4" t="s">
        <v>35</v>
      </c>
      <c r="D13" s="4" t="s">
        <v>36</v>
      </c>
      <c r="E13" s="4" t="s">
        <v>37</v>
      </c>
      <c r="F13" s="5" t="s">
        <v>15</v>
      </c>
      <c r="G13" s="6"/>
      <c r="H13" s="5"/>
      <c r="I13" s="5"/>
    </row>
    <row r="14" customFormat="false" ht="69.75" hidden="false" customHeight="true" outlineLevel="0" collapsed="false">
      <c r="A14" s="4" t="n">
        <v>10</v>
      </c>
      <c r="B14" s="4" t="s">
        <v>11</v>
      </c>
      <c r="C14" s="4" t="s">
        <v>38</v>
      </c>
      <c r="D14" s="4" t="s">
        <v>39</v>
      </c>
      <c r="E14" s="4" t="s">
        <v>40</v>
      </c>
      <c r="F14" s="5" t="s">
        <v>15</v>
      </c>
      <c r="G14" s="6"/>
      <c r="H14" s="5"/>
      <c r="I14" s="5"/>
    </row>
    <row r="15" customFormat="false" ht="60" hidden="false" customHeight="true" outlineLevel="0" collapsed="false">
      <c r="A15" s="4" t="n">
        <v>11</v>
      </c>
      <c r="B15" s="4" t="s">
        <v>41</v>
      </c>
      <c r="C15" s="4" t="s">
        <v>42</v>
      </c>
      <c r="D15" s="4" t="s">
        <v>43</v>
      </c>
      <c r="E15" s="4" t="s">
        <v>44</v>
      </c>
      <c r="F15" s="5" t="s">
        <v>15</v>
      </c>
      <c r="G15" s="6"/>
      <c r="H15" s="5"/>
      <c r="I15" s="5"/>
    </row>
    <row r="16" customFormat="false" ht="69.75" hidden="false" customHeight="true" outlineLevel="0" collapsed="false">
      <c r="A16" s="4" t="n">
        <v>12</v>
      </c>
      <c r="B16" s="4" t="s">
        <v>41</v>
      </c>
      <c r="C16" s="4" t="s">
        <v>45</v>
      </c>
      <c r="D16" s="4" t="s">
        <v>46</v>
      </c>
      <c r="E16" s="4" t="s">
        <v>47</v>
      </c>
      <c r="F16" s="5" t="s">
        <v>15</v>
      </c>
      <c r="G16" s="6"/>
      <c r="H16" s="5"/>
      <c r="I16" s="5"/>
    </row>
    <row r="17" customFormat="false" ht="60" hidden="false" customHeight="true" outlineLevel="0" collapsed="false">
      <c r="A17" s="4" t="n">
        <v>13</v>
      </c>
      <c r="B17" s="4" t="s">
        <v>41</v>
      </c>
      <c r="C17" s="4" t="s">
        <v>48</v>
      </c>
      <c r="D17" s="4" t="s">
        <v>49</v>
      </c>
      <c r="E17" s="4" t="s">
        <v>50</v>
      </c>
      <c r="F17" s="5" t="s">
        <v>15</v>
      </c>
      <c r="G17" s="6"/>
      <c r="H17" s="5"/>
      <c r="I17" s="5"/>
    </row>
    <row r="18" customFormat="false" ht="60" hidden="false" customHeight="true" outlineLevel="0" collapsed="false">
      <c r="A18" s="4" t="n">
        <v>14</v>
      </c>
      <c r="B18" s="4" t="s">
        <v>41</v>
      </c>
      <c r="C18" s="4" t="s">
        <v>51</v>
      </c>
      <c r="D18" s="4" t="s">
        <v>52</v>
      </c>
      <c r="E18" s="4" t="s">
        <v>53</v>
      </c>
      <c r="F18" s="5" t="s">
        <v>15</v>
      </c>
      <c r="G18" s="6"/>
      <c r="H18" s="5"/>
      <c r="I18" s="5"/>
    </row>
    <row r="19" customFormat="false" ht="60" hidden="false" customHeight="true" outlineLevel="0" collapsed="false">
      <c r="A19" s="4" t="n">
        <v>15</v>
      </c>
      <c r="B19" s="4" t="s">
        <v>41</v>
      </c>
      <c r="C19" s="4" t="s">
        <v>54</v>
      </c>
      <c r="D19" s="4" t="s">
        <v>55</v>
      </c>
      <c r="E19" s="4" t="s">
        <v>50</v>
      </c>
      <c r="F19" s="5" t="s">
        <v>15</v>
      </c>
      <c r="G19" s="6"/>
      <c r="H19" s="5"/>
      <c r="I19" s="5"/>
    </row>
    <row r="20" customFormat="false" ht="60" hidden="false" customHeight="true" outlineLevel="0" collapsed="false">
      <c r="A20" s="4" t="n">
        <v>16</v>
      </c>
      <c r="B20" s="4" t="s">
        <v>41</v>
      </c>
      <c r="C20" s="4" t="s">
        <v>56</v>
      </c>
      <c r="D20" s="4" t="s">
        <v>57</v>
      </c>
      <c r="E20" s="4" t="s">
        <v>50</v>
      </c>
      <c r="F20" s="5" t="s">
        <v>15</v>
      </c>
      <c r="G20" s="6"/>
      <c r="H20" s="5"/>
      <c r="I20" s="5"/>
    </row>
    <row r="21" customFormat="false" ht="69.75" hidden="false" customHeight="true" outlineLevel="0" collapsed="false">
      <c r="A21" s="4" t="n">
        <v>17</v>
      </c>
      <c r="B21" s="4" t="s">
        <v>41</v>
      </c>
      <c r="C21" s="4" t="s">
        <v>58</v>
      </c>
      <c r="D21" s="4" t="s">
        <v>59</v>
      </c>
      <c r="E21" s="4" t="s">
        <v>50</v>
      </c>
      <c r="F21" s="5" t="s">
        <v>15</v>
      </c>
      <c r="G21" s="6"/>
      <c r="H21" s="5"/>
      <c r="I21" s="5"/>
    </row>
    <row r="22" customFormat="false" ht="60" hidden="false" customHeight="true" outlineLevel="0" collapsed="false">
      <c r="A22" s="4" t="n">
        <v>18</v>
      </c>
      <c r="B22" s="4" t="s">
        <v>41</v>
      </c>
      <c r="C22" s="4" t="s">
        <v>60</v>
      </c>
      <c r="D22" s="4" t="s">
        <v>61</v>
      </c>
      <c r="E22" s="4" t="s">
        <v>50</v>
      </c>
      <c r="F22" s="5" t="s">
        <v>15</v>
      </c>
      <c r="G22" s="6"/>
      <c r="H22" s="5"/>
      <c r="I22" s="5"/>
    </row>
    <row r="23" customFormat="false" ht="69.75" hidden="false" customHeight="true" outlineLevel="0" collapsed="false">
      <c r="A23" s="4" t="n">
        <v>19</v>
      </c>
      <c r="B23" s="4" t="s">
        <v>41</v>
      </c>
      <c r="C23" s="4" t="s">
        <v>62</v>
      </c>
      <c r="D23" s="4" t="s">
        <v>63</v>
      </c>
      <c r="E23" s="4" t="s">
        <v>50</v>
      </c>
      <c r="F23" s="5" t="s">
        <v>15</v>
      </c>
      <c r="G23" s="6"/>
      <c r="H23" s="5"/>
      <c r="I23" s="5"/>
    </row>
    <row r="24" customFormat="false" ht="69.75" hidden="false" customHeight="true" outlineLevel="0" collapsed="false">
      <c r="A24" s="4" t="n">
        <v>20</v>
      </c>
      <c r="B24" s="4" t="s">
        <v>41</v>
      </c>
      <c r="C24" s="4" t="s">
        <v>64</v>
      </c>
      <c r="D24" s="4" t="s">
        <v>65</v>
      </c>
      <c r="E24" s="4" t="s">
        <v>66</v>
      </c>
      <c r="F24" s="5" t="s">
        <v>15</v>
      </c>
      <c r="G24" s="6"/>
      <c r="H24" s="5"/>
      <c r="I24" s="5"/>
    </row>
    <row r="25" customFormat="false" ht="60" hidden="false" customHeight="true" outlineLevel="0" collapsed="false">
      <c r="A25" s="4" t="n">
        <v>21</v>
      </c>
      <c r="B25" s="4" t="s">
        <v>41</v>
      </c>
      <c r="C25" s="4" t="s">
        <v>67</v>
      </c>
      <c r="D25" s="4" t="s">
        <v>68</v>
      </c>
      <c r="E25" s="4" t="s">
        <v>69</v>
      </c>
      <c r="F25" s="5" t="s">
        <v>15</v>
      </c>
      <c r="G25" s="6"/>
      <c r="H25" s="5"/>
      <c r="I25" s="5"/>
    </row>
    <row r="26" customFormat="false" ht="60" hidden="false" customHeight="true" outlineLevel="0" collapsed="false">
      <c r="A26" s="4" t="n">
        <v>22</v>
      </c>
      <c r="B26" s="4" t="s">
        <v>41</v>
      </c>
      <c r="C26" s="4" t="s">
        <v>70</v>
      </c>
      <c r="D26" s="4" t="s">
        <v>71</v>
      </c>
      <c r="E26" s="4" t="s">
        <v>14</v>
      </c>
      <c r="F26" s="5" t="s">
        <v>15</v>
      </c>
      <c r="G26" s="6"/>
      <c r="H26" s="5"/>
      <c r="I26" s="5"/>
    </row>
    <row r="27" customFormat="false" ht="60" hidden="false" customHeight="true" outlineLevel="0" collapsed="false">
      <c r="A27" s="4" t="n">
        <v>23</v>
      </c>
      <c r="B27" s="4" t="s">
        <v>72</v>
      </c>
      <c r="C27" s="4" t="s">
        <v>73</v>
      </c>
      <c r="D27" s="4" t="s">
        <v>74</v>
      </c>
      <c r="E27" s="4" t="s">
        <v>75</v>
      </c>
      <c r="F27" s="5" t="s">
        <v>15</v>
      </c>
      <c r="G27" s="6"/>
      <c r="H27" s="5"/>
      <c r="I27" s="5"/>
    </row>
    <row r="28" customFormat="false" ht="69.75" hidden="false" customHeight="true" outlineLevel="0" collapsed="false">
      <c r="A28" s="4" t="n">
        <v>24</v>
      </c>
      <c r="B28" s="4" t="s">
        <v>72</v>
      </c>
      <c r="C28" s="4" t="s">
        <v>76</v>
      </c>
      <c r="D28" s="4" t="s">
        <v>77</v>
      </c>
      <c r="E28" s="4" t="s">
        <v>75</v>
      </c>
      <c r="F28" s="5" t="s">
        <v>15</v>
      </c>
      <c r="G28" s="6"/>
      <c r="H28" s="5"/>
      <c r="I28" s="5"/>
    </row>
    <row r="29" customFormat="false" ht="60" hidden="false" customHeight="true" outlineLevel="0" collapsed="false">
      <c r="A29" s="4" t="n">
        <v>25</v>
      </c>
      <c r="B29" s="4" t="s">
        <v>72</v>
      </c>
      <c r="C29" s="4" t="s">
        <v>78</v>
      </c>
      <c r="D29" s="4" t="s">
        <v>79</v>
      </c>
      <c r="E29" s="4" t="s">
        <v>75</v>
      </c>
      <c r="F29" s="5" t="s">
        <v>15</v>
      </c>
      <c r="G29" s="6"/>
      <c r="H29" s="5"/>
      <c r="I29" s="5"/>
    </row>
    <row r="30" customFormat="false" ht="60" hidden="false" customHeight="true" outlineLevel="0" collapsed="false">
      <c r="A30" s="4" t="n">
        <v>26</v>
      </c>
      <c r="B30" s="4" t="s">
        <v>72</v>
      </c>
      <c r="C30" s="4" t="s">
        <v>80</v>
      </c>
      <c r="D30" s="4" t="s">
        <v>81</v>
      </c>
      <c r="E30" s="4" t="s">
        <v>75</v>
      </c>
      <c r="F30" s="5" t="s">
        <v>15</v>
      </c>
      <c r="G30" s="6"/>
      <c r="H30" s="5"/>
      <c r="I30" s="5"/>
    </row>
    <row r="31" customFormat="false" ht="60" hidden="false" customHeight="true" outlineLevel="0" collapsed="false">
      <c r="A31" s="4" t="n">
        <v>27</v>
      </c>
      <c r="B31" s="4" t="s">
        <v>72</v>
      </c>
      <c r="C31" s="4" t="s">
        <v>82</v>
      </c>
      <c r="D31" s="4" t="s">
        <v>83</v>
      </c>
      <c r="E31" s="4" t="s">
        <v>75</v>
      </c>
      <c r="F31" s="5" t="s">
        <v>15</v>
      </c>
      <c r="G31" s="6"/>
      <c r="H31" s="5"/>
      <c r="I31" s="5"/>
    </row>
    <row r="32" customFormat="false" ht="69.75" hidden="false" customHeight="true" outlineLevel="0" collapsed="false">
      <c r="A32" s="4" t="n">
        <v>28</v>
      </c>
      <c r="B32" s="4" t="s">
        <v>84</v>
      </c>
      <c r="C32" s="4" t="s">
        <v>85</v>
      </c>
      <c r="D32" s="4" t="s">
        <v>86</v>
      </c>
      <c r="E32" s="4" t="s">
        <v>87</v>
      </c>
      <c r="F32" s="5" t="s">
        <v>15</v>
      </c>
      <c r="G32" s="6"/>
      <c r="H32" s="5"/>
      <c r="I32" s="5"/>
    </row>
  </sheetData>
  <autoFilter ref="A4:I32"/>
  <mergeCells count="1">
    <mergeCell ref="A2:I2"/>
  </mergeCells>
  <conditionalFormatting sqref="F5:F32">
    <cfRule type="cellIs" priority="2" operator="equal" aboveAverage="0" equalAverage="0" bottom="0" percent="0" rank="0" text="" dxfId="4">
      <formula>"Tayyor"</formula>
    </cfRule>
    <cfRule type="cellIs" priority="3" operator="equal" aboveAverage="0" equalAverage="0" bottom="0" percent="0" rank="0" text="" dxfId="5">
      <formula>"Jarayonda"</formula>
    </cfRule>
    <cfRule type="cellIs" priority="4" operator="equal" aboveAverage="0" equalAverage="0" bottom="0" percent="0" rank="0" text="" dxfId="6">
      <formula>"Muammo bor"</formula>
    </cfRule>
  </conditionalFormatting>
  <dataValidations count="1">
    <dataValidation allowBlank="true" errorStyle="stop" operator="between" showDropDown="false" showErrorMessage="false" showInputMessage="false" sqref="F5:F32" type="list">
      <formula1>"Tayyor,Jarayonda,Boshlanmagan,Muammo bor"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88</v>
      </c>
    </row>
    <row r="3" customFormat="false" ht="15" hidden="false" customHeight="false" outlineLevel="0" collapsed="false">
      <c r="A3" s="7" t="s">
        <v>3</v>
      </c>
      <c r="B3" s="7" t="s">
        <v>89</v>
      </c>
      <c r="C3" s="7" t="s">
        <v>90</v>
      </c>
      <c r="D3" s="7" t="s">
        <v>91</v>
      </c>
      <c r="E3" s="7" t="s">
        <v>15</v>
      </c>
      <c r="F3" s="7" t="s">
        <v>92</v>
      </c>
      <c r="G3" s="7" t="s">
        <v>93</v>
      </c>
    </row>
    <row r="4" customFormat="false" ht="15" hidden="false" customHeight="false" outlineLevel="0" collapsed="false">
      <c r="A4" s="8" t="s">
        <v>11</v>
      </c>
      <c r="B4" s="8" t="n">
        <f aca="false">COUNTIF(Tayyorgarlik!$B$5:$B$32,A4)</f>
        <v>10</v>
      </c>
      <c r="C4" s="8" t="n">
        <f aca="false">COUNTIFS(Tayyorgarlik!$B$5:$B$32,$A4,Tayyorgarlik!$F$5:$F$32,"Tayyor")</f>
        <v>0</v>
      </c>
      <c r="D4" s="8" t="n">
        <f aca="false">COUNTIFS(Tayyorgarlik!$B$5:$B$32,$A4,Tayyorgarlik!$F$5:$F$32,"Jarayonda")</f>
        <v>0</v>
      </c>
      <c r="E4" s="8" t="n">
        <f aca="false">COUNTIFS(Tayyorgarlik!$B$5:$B$32,$A4,Tayyorgarlik!$F$5:$F$32,"Boshlanmagan")</f>
        <v>10</v>
      </c>
      <c r="F4" s="8" t="n">
        <f aca="false">COUNTIFS(Tayyorgarlik!$B$5:$B$32,$A4,Tayyorgarlik!$F$5:$F$32,"Muammo bor")</f>
        <v>0</v>
      </c>
      <c r="G4" s="9" t="n">
        <f aca="false">IF(B4=0,0,C4/B4)</f>
        <v>0</v>
      </c>
    </row>
    <row r="5" customFormat="false" ht="15" hidden="false" customHeight="false" outlineLevel="0" collapsed="false">
      <c r="A5" s="8" t="s">
        <v>41</v>
      </c>
      <c r="B5" s="8" t="n">
        <f aca="false">COUNTIF(Tayyorgarlik!$B$5:$B$32,A5)</f>
        <v>12</v>
      </c>
      <c r="C5" s="8" t="n">
        <f aca="false">COUNTIFS(Tayyorgarlik!$B$5:$B$32,$A5,Tayyorgarlik!$F$5:$F$32,"Tayyor")</f>
        <v>0</v>
      </c>
      <c r="D5" s="8" t="n">
        <f aca="false">COUNTIFS(Tayyorgarlik!$B$5:$B$32,$A5,Tayyorgarlik!$F$5:$F$32,"Jarayonda")</f>
        <v>0</v>
      </c>
      <c r="E5" s="8" t="n">
        <f aca="false">COUNTIFS(Tayyorgarlik!$B$5:$B$32,$A5,Tayyorgarlik!$F$5:$F$32,"Boshlanmagan")</f>
        <v>12</v>
      </c>
      <c r="F5" s="8" t="n">
        <f aca="false">COUNTIFS(Tayyorgarlik!$B$5:$B$32,$A5,Tayyorgarlik!$F$5:$F$32,"Muammo bor")</f>
        <v>0</v>
      </c>
      <c r="G5" s="9" t="n">
        <f aca="false">IF(B5=0,0,C5/B5)</f>
        <v>0</v>
      </c>
    </row>
    <row r="6" customFormat="false" ht="15" hidden="false" customHeight="false" outlineLevel="0" collapsed="false">
      <c r="A6" s="8" t="s">
        <v>72</v>
      </c>
      <c r="B6" s="8" t="n">
        <f aca="false">COUNTIF(Tayyorgarlik!$B$5:$B$32,A6)</f>
        <v>5</v>
      </c>
      <c r="C6" s="8" t="n">
        <f aca="false">COUNTIFS(Tayyorgarlik!$B$5:$B$32,$A6,Tayyorgarlik!$F$5:$F$32,"Tayyor")</f>
        <v>0</v>
      </c>
      <c r="D6" s="8" t="n">
        <f aca="false">COUNTIFS(Tayyorgarlik!$B$5:$B$32,$A6,Tayyorgarlik!$F$5:$F$32,"Jarayonda")</f>
        <v>0</v>
      </c>
      <c r="E6" s="8" t="n">
        <f aca="false">COUNTIFS(Tayyorgarlik!$B$5:$B$32,$A6,Tayyorgarlik!$F$5:$F$32,"Boshlanmagan")</f>
        <v>5</v>
      </c>
      <c r="F6" s="8" t="n">
        <f aca="false">COUNTIFS(Tayyorgarlik!$B$5:$B$32,$A6,Tayyorgarlik!$F$5:$F$32,"Muammo bor")</f>
        <v>0</v>
      </c>
      <c r="G6" s="9" t="n">
        <f aca="false">IF(B6=0,0,C6/B6)</f>
        <v>0</v>
      </c>
    </row>
    <row r="7" customFormat="false" ht="15" hidden="false" customHeight="false" outlineLevel="0" collapsed="false">
      <c r="A7" s="8" t="s">
        <v>84</v>
      </c>
      <c r="B7" s="8" t="n">
        <f aca="false">COUNTIF(Tayyorgarlik!$B$5:$B$32,A7)</f>
        <v>1</v>
      </c>
      <c r="C7" s="8" t="n">
        <f aca="false">COUNTIFS(Tayyorgarlik!$B$5:$B$32,$A7,Tayyorgarlik!$F$5:$F$32,"Tayyor")</f>
        <v>0</v>
      </c>
      <c r="D7" s="8" t="n">
        <f aca="false">COUNTIFS(Tayyorgarlik!$B$5:$B$32,$A7,Tayyorgarlik!$F$5:$F$32,"Jarayonda")</f>
        <v>0</v>
      </c>
      <c r="E7" s="8" t="n">
        <f aca="false">COUNTIFS(Tayyorgarlik!$B$5:$B$32,$A7,Tayyorgarlik!$F$5:$F$32,"Boshlanmagan")</f>
        <v>1</v>
      </c>
      <c r="F7" s="8" t="n">
        <f aca="false">COUNTIFS(Tayyorgarlik!$B$5:$B$32,$A7,Tayyorgarlik!$F$5:$F$32,"Muammo bor")</f>
        <v>0</v>
      </c>
      <c r="G7" s="9" t="n">
        <f aca="false">IF(B7=0,0,C7/B7)</f>
        <v>0</v>
      </c>
    </row>
    <row r="8" customFormat="false" ht="15" hidden="false" customHeight="false" outlineLevel="0" collapsed="false">
      <c r="A8" s="10" t="s">
        <v>94</v>
      </c>
      <c r="B8" s="10" t="n">
        <f aca="false">SUM(B4:B7)</f>
        <v>28</v>
      </c>
      <c r="C8" s="10" t="n">
        <f aca="false">SUM(C4:C7)</f>
        <v>0</v>
      </c>
      <c r="D8" s="10" t="n">
        <f aca="false">SUM(D4:D7)</f>
        <v>0</v>
      </c>
      <c r="E8" s="10" t="n">
        <f aca="false">SUM(E4:E7)</f>
        <v>28</v>
      </c>
      <c r="F8" s="10" t="n">
        <f aca="false">SUM(F4:F7)</f>
        <v>0</v>
      </c>
      <c r="G8" s="11" t="n">
        <f aca="false">IF(B8=0,0,C8/B8)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95</v>
      </c>
    </row>
    <row r="2" customFormat="false" ht="42" hidden="false" customHeight="true" outlineLevel="0" collapsed="false">
      <c r="A2" s="12" t="s">
        <v>96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52.2" hidden="false" customHeight="false" outlineLevel="0" collapsed="false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105</v>
      </c>
      <c r="J4" s="3" t="s">
        <v>10</v>
      </c>
    </row>
    <row r="5" customFormat="false" ht="23.85" hidden="false" customHeight="false" outlineLevel="0" collapsed="false">
      <c r="A5" s="5" t="n">
        <v>23</v>
      </c>
      <c r="B5" s="5" t="s">
        <v>106</v>
      </c>
      <c r="C5" s="5" t="s">
        <v>107</v>
      </c>
      <c r="D5" s="6" t="n">
        <v>45537</v>
      </c>
      <c r="E5" s="5" t="s">
        <v>108</v>
      </c>
      <c r="F5" s="5" t="s">
        <v>108</v>
      </c>
      <c r="G5" s="6" t="n">
        <v>45901</v>
      </c>
      <c r="H5" s="5" t="s">
        <v>109</v>
      </c>
      <c r="I5" s="4" t="str">
        <f aca="true">IF(B5="","",IF(OR(C5="",D5="",E5&lt;&gt;"Ha",F5&lt;&gt;"Ha"),"Rekvizit to‘liq emas",IF(G5="","OK",IF(G5&lt;TODAY(),"Muddati o‘tgan",IF(G5-TODAY()&lt;=30,"30 kun ichida tugaydi","OK")))))</f>
        <v>Muddati o‘tgan</v>
      </c>
      <c r="J5" s="5" t="s">
        <v>110</v>
      </c>
    </row>
    <row r="6" customFormat="false" ht="15" hidden="false" customHeight="false" outlineLevel="0" collapsed="false">
      <c r="A6" s="5"/>
      <c r="B6" s="5"/>
      <c r="C6" s="5"/>
      <c r="D6" s="6"/>
      <c r="E6" s="5"/>
      <c r="F6" s="5"/>
      <c r="G6" s="6"/>
      <c r="H6" s="5"/>
      <c r="I6" s="4" t="str">
        <f aca="true">IF(B6="","",IF(OR(C6="",D6="",E6&lt;&gt;"Ha",F6&lt;&gt;"Ha"),"Rekvizit to‘liq emas",IF(G6="","OK",IF(G6&lt;TODAY(),"Muddati o‘tgan",IF(G6-TODAY()&lt;=30,"30 kun ichida tugaydi","OK")))))</f>
        <v/>
      </c>
      <c r="J6" s="5"/>
    </row>
    <row r="7" customFormat="false" ht="15" hidden="false" customHeight="false" outlineLevel="0" collapsed="false">
      <c r="A7" s="5"/>
      <c r="B7" s="5"/>
      <c r="C7" s="5"/>
      <c r="D7" s="6"/>
      <c r="E7" s="5"/>
      <c r="F7" s="5"/>
      <c r="G7" s="6"/>
      <c r="H7" s="5"/>
      <c r="I7" s="4" t="str">
        <f aca="true">IF(B7="","",IF(OR(C7="",D7="",E7&lt;&gt;"Ha",F7&lt;&gt;"Ha"),"Rekvizit to‘liq emas",IF(G7="","OK",IF(G7&lt;TODAY(),"Muddati o‘tgan",IF(G7-TODAY()&lt;=30,"30 kun ichida tugaydi","OK")))))</f>
        <v/>
      </c>
      <c r="J7" s="5"/>
    </row>
    <row r="8" customFormat="false" ht="15" hidden="false" customHeight="false" outlineLevel="0" collapsed="false">
      <c r="A8" s="5"/>
      <c r="B8" s="5"/>
      <c r="C8" s="5"/>
      <c r="D8" s="6"/>
      <c r="E8" s="5"/>
      <c r="F8" s="5"/>
      <c r="G8" s="6"/>
      <c r="H8" s="5"/>
      <c r="I8" s="4" t="str">
        <f aca="true">IF(B8="","",IF(OR(C8="",D8="",E8&lt;&gt;"Ha",F8&lt;&gt;"Ha"),"Rekvizit to‘liq emas",IF(G8="","OK",IF(G8&lt;TODAY(),"Muddati o‘tgan",IF(G8-TODAY()&lt;=30,"30 kun ichida tugaydi","OK")))))</f>
        <v/>
      </c>
      <c r="J8" s="5"/>
    </row>
    <row r="9" customFormat="false" ht="15" hidden="false" customHeight="false" outlineLevel="0" collapsed="false">
      <c r="A9" s="5"/>
      <c r="B9" s="5"/>
      <c r="C9" s="5"/>
      <c r="D9" s="6"/>
      <c r="E9" s="5"/>
      <c r="F9" s="5"/>
      <c r="G9" s="6"/>
      <c r="H9" s="5"/>
      <c r="I9" s="4" t="str">
        <f aca="true">IF(B9="","",IF(OR(C9="",D9="",E9&lt;&gt;"Ha",F9&lt;&gt;"Ha"),"Rekvizit to‘liq emas",IF(G9="","OK",IF(G9&lt;TODAY(),"Muddati o‘tgan",IF(G9-TODAY()&lt;=30,"30 kun ichida tugaydi","OK")))))</f>
        <v/>
      </c>
      <c r="J9" s="5"/>
    </row>
    <row r="10" customFormat="false" ht="15" hidden="false" customHeight="false" outlineLevel="0" collapsed="false">
      <c r="A10" s="5"/>
      <c r="B10" s="5"/>
      <c r="C10" s="5"/>
      <c r="D10" s="6"/>
      <c r="E10" s="5"/>
      <c r="F10" s="5"/>
      <c r="G10" s="6"/>
      <c r="H10" s="5"/>
      <c r="I10" s="4" t="str">
        <f aca="true">IF(B10="","",IF(OR(C10="",D10="",E10&lt;&gt;"Ha",F10&lt;&gt;"Ha"),"Rekvizit to‘liq emas",IF(G10="","OK",IF(G10&lt;TODAY(),"Muddati o‘tgan",IF(G10-TODAY()&lt;=30,"30 kun ichida tugaydi","OK")))))</f>
        <v/>
      </c>
      <c r="J10" s="5"/>
    </row>
    <row r="11" customFormat="false" ht="15" hidden="false" customHeight="false" outlineLevel="0" collapsed="false">
      <c r="A11" s="5"/>
      <c r="B11" s="5"/>
      <c r="C11" s="5"/>
      <c r="D11" s="6"/>
      <c r="E11" s="5"/>
      <c r="F11" s="5"/>
      <c r="G11" s="6"/>
      <c r="H11" s="5"/>
      <c r="I11" s="4" t="str">
        <f aca="true">IF(B11="","",IF(OR(C11="",D11="",E11&lt;&gt;"Ha",F11&lt;&gt;"Ha"),"Rekvizit to‘liq emas",IF(G11="","OK",IF(G11&lt;TODAY(),"Muddati o‘tgan",IF(G11-TODAY()&lt;=30,"30 kun ichida tugaydi","OK")))))</f>
        <v/>
      </c>
      <c r="J11" s="5"/>
    </row>
    <row r="12" customFormat="false" ht="15" hidden="false" customHeight="false" outlineLevel="0" collapsed="false">
      <c r="A12" s="5"/>
      <c r="B12" s="5"/>
      <c r="C12" s="5"/>
      <c r="D12" s="6"/>
      <c r="E12" s="5"/>
      <c r="F12" s="5"/>
      <c r="G12" s="6"/>
      <c r="H12" s="5"/>
      <c r="I12" s="4" t="str">
        <f aca="true">IF(B12="","",IF(OR(C12="",D12="",E12&lt;&gt;"Ha",F12&lt;&gt;"Ha"),"Rekvizit to‘liq emas",IF(G12="","OK",IF(G12&lt;TODAY(),"Muddati o‘tgan",IF(G12-TODAY()&lt;=30,"30 kun ichida tugaydi","OK")))))</f>
        <v/>
      </c>
      <c r="J12" s="5"/>
    </row>
    <row r="13" customFormat="false" ht="15" hidden="false" customHeight="false" outlineLevel="0" collapsed="false">
      <c r="A13" s="5"/>
      <c r="B13" s="5"/>
      <c r="C13" s="5"/>
      <c r="D13" s="6"/>
      <c r="E13" s="5"/>
      <c r="F13" s="5"/>
      <c r="G13" s="6"/>
      <c r="H13" s="5"/>
      <c r="I13" s="4" t="str">
        <f aca="true">IF(B13="","",IF(OR(C13="",D13="",E13&lt;&gt;"Ha",F13&lt;&gt;"Ha"),"Rekvizit to‘liq emas",IF(G13="","OK",IF(G13&lt;TODAY(),"Muddati o‘tgan",IF(G13-TODAY()&lt;=30,"30 kun ichida tugaydi","OK")))))</f>
        <v/>
      </c>
      <c r="J13" s="5"/>
    </row>
    <row r="14" customFormat="false" ht="15" hidden="false" customHeight="false" outlineLevel="0" collapsed="false">
      <c r="A14" s="5"/>
      <c r="B14" s="5"/>
      <c r="C14" s="5"/>
      <c r="D14" s="6"/>
      <c r="E14" s="5"/>
      <c r="F14" s="5"/>
      <c r="G14" s="6"/>
      <c r="H14" s="5"/>
      <c r="I14" s="4" t="str">
        <f aca="true">IF(B14="","",IF(OR(C14="",D14="",E14&lt;&gt;"Ha",F14&lt;&gt;"Ha"),"Rekvizit to‘liq emas",IF(G14="","OK",IF(G14&lt;TODAY(),"Muddati o‘tgan",IF(G14-TODAY()&lt;=30,"30 kun ichida tugaydi","OK")))))</f>
        <v/>
      </c>
      <c r="J14" s="5"/>
    </row>
    <row r="15" customFormat="false" ht="15" hidden="false" customHeight="false" outlineLevel="0" collapsed="false">
      <c r="A15" s="5"/>
      <c r="B15" s="5"/>
      <c r="C15" s="5"/>
      <c r="D15" s="6"/>
      <c r="E15" s="5"/>
      <c r="F15" s="5"/>
      <c r="G15" s="6"/>
      <c r="H15" s="5"/>
      <c r="I15" s="4" t="str">
        <f aca="true">IF(B15="","",IF(OR(C15="",D15="",E15&lt;&gt;"Ha",F15&lt;&gt;"Ha"),"Rekvizit to‘liq emas",IF(G15="","OK",IF(G15&lt;TODAY(),"Muddati o‘tgan",IF(G15-TODAY()&lt;=30,"30 kun ichida tugaydi","OK")))))</f>
        <v/>
      </c>
      <c r="J15" s="5"/>
    </row>
    <row r="16" customFormat="false" ht="15" hidden="false" customHeight="false" outlineLevel="0" collapsed="false">
      <c r="A16" s="5"/>
      <c r="B16" s="5"/>
      <c r="C16" s="5"/>
      <c r="D16" s="6"/>
      <c r="E16" s="5"/>
      <c r="F16" s="5"/>
      <c r="G16" s="6"/>
      <c r="H16" s="5"/>
      <c r="I16" s="4" t="str">
        <f aca="true">IF(B16="","",IF(OR(C16="",D16="",E16&lt;&gt;"Ha",F16&lt;&gt;"Ha"),"Rekvizit to‘liq emas",IF(G16="","OK",IF(G16&lt;TODAY(),"Muddati o‘tgan",IF(G16-TODAY()&lt;=30,"30 kun ichida tugaydi","OK")))))</f>
        <v/>
      </c>
      <c r="J16" s="5"/>
    </row>
    <row r="17" customFormat="false" ht="15" hidden="false" customHeight="false" outlineLevel="0" collapsed="false">
      <c r="A17" s="5"/>
      <c r="B17" s="5"/>
      <c r="C17" s="5"/>
      <c r="D17" s="6"/>
      <c r="E17" s="5"/>
      <c r="F17" s="5"/>
      <c r="G17" s="6"/>
      <c r="H17" s="5"/>
      <c r="I17" s="4" t="str">
        <f aca="true">IF(B17="","",IF(OR(C17="",D17="",E17&lt;&gt;"Ha",F17&lt;&gt;"Ha"),"Rekvizit to‘liq emas",IF(G17="","OK",IF(G17&lt;TODAY(),"Muddati o‘tgan",IF(G17-TODAY()&lt;=30,"30 kun ichida tugaydi","OK")))))</f>
        <v/>
      </c>
      <c r="J17" s="5"/>
    </row>
    <row r="18" customFormat="false" ht="15" hidden="false" customHeight="false" outlineLevel="0" collapsed="false">
      <c r="A18" s="5"/>
      <c r="B18" s="5"/>
      <c r="C18" s="5"/>
      <c r="D18" s="6"/>
      <c r="E18" s="5"/>
      <c r="F18" s="5"/>
      <c r="G18" s="6"/>
      <c r="H18" s="5"/>
      <c r="I18" s="4" t="str">
        <f aca="true">IF(B18="","",IF(OR(C18="",D18="",E18&lt;&gt;"Ha",F18&lt;&gt;"Ha"),"Rekvizit to‘liq emas",IF(G18="","OK",IF(G18&lt;TODAY(),"Muddati o‘tgan",IF(G18-TODAY()&lt;=30,"30 kun ichida tugaydi","OK")))))</f>
        <v/>
      </c>
      <c r="J18" s="5"/>
    </row>
    <row r="19" customFormat="false" ht="15" hidden="false" customHeight="false" outlineLevel="0" collapsed="false">
      <c r="A19" s="5"/>
      <c r="B19" s="5"/>
      <c r="C19" s="5"/>
      <c r="D19" s="6"/>
      <c r="E19" s="5"/>
      <c r="F19" s="5"/>
      <c r="G19" s="6"/>
      <c r="H19" s="5"/>
      <c r="I19" s="4" t="str">
        <f aca="true">IF(B19="","",IF(OR(C19="",D19="",E19&lt;&gt;"Ha",F19&lt;&gt;"Ha"),"Rekvizit to‘liq emas",IF(G19="","OK",IF(G19&lt;TODAY(),"Muddati o‘tgan",IF(G19-TODAY()&lt;=30,"30 kun ichida tugaydi","OK")))))</f>
        <v/>
      </c>
      <c r="J19" s="5"/>
    </row>
    <row r="20" customFormat="false" ht="15" hidden="false" customHeight="false" outlineLevel="0" collapsed="false">
      <c r="A20" s="5"/>
      <c r="B20" s="5"/>
      <c r="C20" s="5"/>
      <c r="D20" s="6"/>
      <c r="E20" s="5"/>
      <c r="F20" s="5"/>
      <c r="G20" s="6"/>
      <c r="H20" s="5"/>
      <c r="I20" s="4" t="str">
        <f aca="true">IF(B20="","",IF(OR(C20="",D20="",E20&lt;&gt;"Ha",F20&lt;&gt;"Ha"),"Rekvizit to‘liq emas",IF(G20="","OK",IF(G20&lt;TODAY(),"Muddati o‘tgan",IF(G20-TODAY()&lt;=30,"30 kun ichida tugaydi","OK")))))</f>
        <v/>
      </c>
      <c r="J20" s="5"/>
    </row>
    <row r="21" customFormat="false" ht="15" hidden="false" customHeight="false" outlineLevel="0" collapsed="false">
      <c r="A21" s="5"/>
      <c r="B21" s="5"/>
      <c r="C21" s="5"/>
      <c r="D21" s="6"/>
      <c r="E21" s="5"/>
      <c r="F21" s="5"/>
      <c r="G21" s="6"/>
      <c r="H21" s="5"/>
      <c r="I21" s="4" t="str">
        <f aca="true">IF(B21="","",IF(OR(C21="",D21="",E21&lt;&gt;"Ha",F21&lt;&gt;"Ha"),"Rekvizit to‘liq emas",IF(G21="","OK",IF(G21&lt;TODAY(),"Muddati o‘tgan",IF(G21-TODAY()&lt;=30,"30 kun ichida tugaydi","OK")))))</f>
        <v/>
      </c>
      <c r="J21" s="5"/>
    </row>
    <row r="22" customFormat="false" ht="15" hidden="false" customHeight="false" outlineLevel="0" collapsed="false">
      <c r="A22" s="5"/>
      <c r="B22" s="5"/>
      <c r="C22" s="5"/>
      <c r="D22" s="6"/>
      <c r="E22" s="5"/>
      <c r="F22" s="5"/>
      <c r="G22" s="6"/>
      <c r="H22" s="5"/>
      <c r="I22" s="4" t="str">
        <f aca="true">IF(B22="","",IF(OR(C22="",D22="",E22&lt;&gt;"Ha",F22&lt;&gt;"Ha"),"Rekvizit to‘liq emas",IF(G22="","OK",IF(G22&lt;TODAY(),"Muddati o‘tgan",IF(G22-TODAY()&lt;=30,"30 kun ichida tugaydi","OK")))))</f>
        <v/>
      </c>
      <c r="J22" s="5"/>
    </row>
    <row r="23" customFormat="false" ht="15" hidden="false" customHeight="false" outlineLevel="0" collapsed="false">
      <c r="A23" s="5"/>
      <c r="B23" s="5"/>
      <c r="C23" s="5"/>
      <c r="D23" s="6"/>
      <c r="E23" s="5"/>
      <c r="F23" s="5"/>
      <c r="G23" s="6"/>
      <c r="H23" s="5"/>
      <c r="I23" s="4" t="str">
        <f aca="true">IF(B23="","",IF(OR(C23="",D23="",E23&lt;&gt;"Ha",F23&lt;&gt;"Ha"),"Rekvizit to‘liq emas",IF(G23="","OK",IF(G23&lt;TODAY(),"Muddati o‘tgan",IF(G23-TODAY()&lt;=30,"30 kun ichida tugaydi","OK")))))</f>
        <v/>
      </c>
      <c r="J23" s="5"/>
    </row>
    <row r="24" customFormat="false" ht="15" hidden="false" customHeight="false" outlineLevel="0" collapsed="false">
      <c r="A24" s="5"/>
      <c r="B24" s="5"/>
      <c r="C24" s="5"/>
      <c r="D24" s="6"/>
      <c r="E24" s="5"/>
      <c r="F24" s="5"/>
      <c r="G24" s="6"/>
      <c r="H24" s="5"/>
      <c r="I24" s="4" t="str">
        <f aca="true">IF(B24="","",IF(OR(C24="",D24="",E24&lt;&gt;"Ha",F24&lt;&gt;"Ha"),"Rekvizit to‘liq emas",IF(G24="","OK",IF(G24&lt;TODAY(),"Muddati o‘tgan",IF(G24-TODAY()&lt;=30,"30 kun ichida tugaydi","OK")))))</f>
        <v/>
      </c>
      <c r="J24" s="5"/>
    </row>
    <row r="25" customFormat="false" ht="15" hidden="false" customHeight="false" outlineLevel="0" collapsed="false">
      <c r="A25" s="5"/>
      <c r="B25" s="5"/>
      <c r="C25" s="5"/>
      <c r="D25" s="6"/>
      <c r="E25" s="5"/>
      <c r="F25" s="5"/>
      <c r="G25" s="6"/>
      <c r="H25" s="5"/>
      <c r="I25" s="4" t="str">
        <f aca="true">IF(B25="","",IF(OR(C25="",D25="",E25&lt;&gt;"Ha",F25&lt;&gt;"Ha"),"Rekvizit to‘liq emas",IF(G25="","OK",IF(G25&lt;TODAY(),"Muddati o‘tgan",IF(G25-TODAY()&lt;=30,"30 kun ichida tugaydi","OK")))))</f>
        <v/>
      </c>
      <c r="J25" s="5"/>
    </row>
    <row r="26" customFormat="false" ht="15" hidden="false" customHeight="false" outlineLevel="0" collapsed="false">
      <c r="A26" s="5"/>
      <c r="B26" s="5"/>
      <c r="C26" s="5"/>
      <c r="D26" s="6"/>
      <c r="E26" s="5"/>
      <c r="F26" s="5"/>
      <c r="G26" s="6"/>
      <c r="H26" s="5"/>
      <c r="I26" s="4" t="str">
        <f aca="true">IF(B26="","",IF(OR(C26="",D26="",E26&lt;&gt;"Ha",F26&lt;&gt;"Ha"),"Rekvizit to‘liq emas",IF(G26="","OK",IF(G26&lt;TODAY(),"Muddati o‘tgan",IF(G26-TODAY()&lt;=30,"30 kun ichida tugaydi","OK")))))</f>
        <v/>
      </c>
      <c r="J26" s="5"/>
    </row>
    <row r="27" customFormat="false" ht="15" hidden="false" customHeight="false" outlineLevel="0" collapsed="false">
      <c r="A27" s="5"/>
      <c r="B27" s="5"/>
      <c r="C27" s="5"/>
      <c r="D27" s="6"/>
      <c r="E27" s="5"/>
      <c r="F27" s="5"/>
      <c r="G27" s="6"/>
      <c r="H27" s="5"/>
      <c r="I27" s="4" t="str">
        <f aca="true">IF(B27="","",IF(OR(C27="",D27="",E27&lt;&gt;"Ha",F27&lt;&gt;"Ha"),"Rekvizit to‘liq emas",IF(G27="","OK",IF(G27&lt;TODAY(),"Muddati o‘tgan",IF(G27-TODAY()&lt;=30,"30 kun ichida tugaydi","OK")))))</f>
        <v/>
      </c>
      <c r="J27" s="5"/>
    </row>
    <row r="28" customFormat="false" ht="15" hidden="false" customHeight="false" outlineLevel="0" collapsed="false">
      <c r="A28" s="5"/>
      <c r="B28" s="5"/>
      <c r="C28" s="5"/>
      <c r="D28" s="6"/>
      <c r="E28" s="5"/>
      <c r="F28" s="5"/>
      <c r="G28" s="6"/>
      <c r="H28" s="5"/>
      <c r="I28" s="4" t="str">
        <f aca="true">IF(B28="","",IF(OR(C28="",D28="",E28&lt;&gt;"Ha",F28&lt;&gt;"Ha"),"Rekvizit to‘liq emas",IF(G28="","OK",IF(G28&lt;TODAY(),"Muddati o‘tgan",IF(G28-TODAY()&lt;=30,"30 kun ichida tugaydi","OK")))))</f>
        <v/>
      </c>
      <c r="J28" s="5"/>
    </row>
    <row r="29" customFormat="false" ht="15" hidden="false" customHeight="false" outlineLevel="0" collapsed="false">
      <c r="A29" s="5"/>
      <c r="B29" s="5"/>
      <c r="C29" s="5"/>
      <c r="D29" s="6"/>
      <c r="E29" s="5"/>
      <c r="F29" s="5"/>
      <c r="G29" s="6"/>
      <c r="H29" s="5"/>
      <c r="I29" s="4" t="str">
        <f aca="true">IF(B29="","",IF(OR(C29="",D29="",E29&lt;&gt;"Ha",F29&lt;&gt;"Ha"),"Rekvizit to‘liq emas",IF(G29="","OK",IF(G29&lt;TODAY(),"Muddati o‘tgan",IF(G29-TODAY()&lt;=30,"30 kun ichida tugaydi","OK")))))</f>
        <v/>
      </c>
      <c r="J29" s="5"/>
    </row>
    <row r="30" customFormat="false" ht="15" hidden="false" customHeight="false" outlineLevel="0" collapsed="false">
      <c r="A30" s="5"/>
      <c r="B30" s="5"/>
      <c r="C30" s="5"/>
      <c r="D30" s="6"/>
      <c r="E30" s="5"/>
      <c r="F30" s="5"/>
      <c r="G30" s="6"/>
      <c r="H30" s="5"/>
      <c r="I30" s="4" t="str">
        <f aca="true">IF(B30="","",IF(OR(C30="",D30="",E30&lt;&gt;"Ha",F30&lt;&gt;"Ha"),"Rekvizit to‘liq emas",IF(G30="","OK",IF(G30&lt;TODAY(),"Muddati o‘tgan",IF(G30-TODAY()&lt;=30,"30 kun ichida tugaydi","OK")))))</f>
        <v/>
      </c>
      <c r="J30" s="5"/>
    </row>
    <row r="31" customFormat="false" ht="15" hidden="false" customHeight="false" outlineLevel="0" collapsed="false">
      <c r="A31" s="5"/>
      <c r="B31" s="5"/>
      <c r="C31" s="5"/>
      <c r="D31" s="6"/>
      <c r="E31" s="5"/>
      <c r="F31" s="5"/>
      <c r="G31" s="6"/>
      <c r="H31" s="5"/>
      <c r="I31" s="4" t="str">
        <f aca="true">IF(B31="","",IF(OR(C31="",D31="",E31&lt;&gt;"Ha",F31&lt;&gt;"Ha"),"Rekvizit to‘liq emas",IF(G31="","OK",IF(G31&lt;TODAY(),"Muddati o‘tgan",IF(G31-TODAY()&lt;=30,"30 kun ichida tugaydi","OK")))))</f>
        <v/>
      </c>
      <c r="J31" s="5"/>
    </row>
    <row r="32" customFormat="false" ht="15" hidden="false" customHeight="false" outlineLevel="0" collapsed="false">
      <c r="A32" s="5"/>
      <c r="B32" s="5"/>
      <c r="C32" s="5"/>
      <c r="D32" s="6"/>
      <c r="E32" s="5"/>
      <c r="F32" s="5"/>
      <c r="G32" s="6"/>
      <c r="H32" s="5"/>
      <c r="I32" s="4" t="str">
        <f aca="true">IF(B32="","",IF(OR(C32="",D32="",E32&lt;&gt;"Ha",F32&lt;&gt;"Ha"),"Rekvizit to‘liq emas",IF(G32="","OK",IF(G32&lt;TODAY(),"Muddati o‘tgan",IF(G32-TODAY()&lt;=30,"30 kun ichida tugaydi","OK")))))</f>
        <v/>
      </c>
      <c r="J32" s="5"/>
    </row>
    <row r="33" customFormat="false" ht="15" hidden="false" customHeight="false" outlineLevel="0" collapsed="false">
      <c r="A33" s="5"/>
      <c r="B33" s="5"/>
      <c r="C33" s="5"/>
      <c r="D33" s="6"/>
      <c r="E33" s="5"/>
      <c r="F33" s="5"/>
      <c r="G33" s="6"/>
      <c r="H33" s="5"/>
      <c r="I33" s="4" t="str">
        <f aca="true">IF(B33="","",IF(OR(C33="",D33="",E33&lt;&gt;"Ha",F33&lt;&gt;"Ha"),"Rekvizit to‘liq emas",IF(G33="","OK",IF(G33&lt;TODAY(),"Muddati o‘tgan",IF(G33-TODAY()&lt;=30,"30 kun ichida tugaydi","OK")))))</f>
        <v/>
      </c>
      <c r="J33" s="5"/>
    </row>
    <row r="34" customFormat="false" ht="15" hidden="false" customHeight="false" outlineLevel="0" collapsed="false">
      <c r="A34" s="5"/>
      <c r="B34" s="5"/>
      <c r="C34" s="5"/>
      <c r="D34" s="6"/>
      <c r="E34" s="5"/>
      <c r="F34" s="5"/>
      <c r="G34" s="6"/>
      <c r="H34" s="5"/>
      <c r="I34" s="4" t="str">
        <f aca="true">IF(B34="","",IF(OR(C34="",D34="",E34&lt;&gt;"Ha",F34&lt;&gt;"Ha"),"Rekvizit to‘liq emas",IF(G34="","OK",IF(G34&lt;TODAY(),"Muddati o‘tgan",IF(G34-TODAY()&lt;=30,"30 kun ichida tugaydi","OK")))))</f>
        <v/>
      </c>
      <c r="J34" s="5"/>
    </row>
    <row r="35" customFormat="false" ht="15" hidden="false" customHeight="false" outlineLevel="0" collapsed="false">
      <c r="A35" s="5"/>
      <c r="B35" s="5"/>
      <c r="C35" s="5"/>
      <c r="D35" s="6"/>
      <c r="E35" s="5"/>
      <c r="F35" s="5"/>
      <c r="G35" s="6"/>
      <c r="H35" s="5"/>
      <c r="I35" s="4" t="str">
        <f aca="true">IF(B35="","",IF(OR(C35="",D35="",E35&lt;&gt;"Ha",F35&lt;&gt;"Ha"),"Rekvizit to‘liq emas",IF(G35="","OK",IF(G35&lt;TODAY(),"Muddati o‘tgan",IF(G35-TODAY()&lt;=30,"30 kun ichida tugaydi","OK")))))</f>
        <v/>
      </c>
      <c r="J35" s="5"/>
    </row>
    <row r="36" customFormat="false" ht="15" hidden="false" customHeight="false" outlineLevel="0" collapsed="false">
      <c r="A36" s="5"/>
      <c r="B36" s="5"/>
      <c r="C36" s="5"/>
      <c r="D36" s="6"/>
      <c r="E36" s="5"/>
      <c r="F36" s="5"/>
      <c r="G36" s="6"/>
      <c r="H36" s="5"/>
      <c r="I36" s="4" t="str">
        <f aca="true">IF(B36="","",IF(OR(C36="",D36="",E36&lt;&gt;"Ha",F36&lt;&gt;"Ha"),"Rekvizit to‘liq emas",IF(G36="","OK",IF(G36&lt;TODAY(),"Muddati o‘tgan",IF(G36-TODAY()&lt;=30,"30 kun ichida tugaydi","OK")))))</f>
        <v/>
      </c>
      <c r="J36" s="5"/>
    </row>
    <row r="37" customFormat="false" ht="15" hidden="false" customHeight="false" outlineLevel="0" collapsed="false">
      <c r="A37" s="5"/>
      <c r="B37" s="5"/>
      <c r="C37" s="5"/>
      <c r="D37" s="6"/>
      <c r="E37" s="5"/>
      <c r="F37" s="5"/>
      <c r="G37" s="6"/>
      <c r="H37" s="5"/>
      <c r="I37" s="4" t="str">
        <f aca="true">IF(B37="","",IF(OR(C37="",D37="",E37&lt;&gt;"Ha",F37&lt;&gt;"Ha"),"Rekvizit to‘liq emas",IF(G37="","OK",IF(G37&lt;TODAY(),"Muddati o‘tgan",IF(G37-TODAY()&lt;=30,"30 kun ichida tugaydi","OK")))))</f>
        <v/>
      </c>
      <c r="J37" s="5"/>
    </row>
    <row r="38" customFormat="false" ht="15" hidden="false" customHeight="false" outlineLevel="0" collapsed="false">
      <c r="A38" s="5"/>
      <c r="B38" s="5"/>
      <c r="C38" s="5"/>
      <c r="D38" s="6"/>
      <c r="E38" s="5"/>
      <c r="F38" s="5"/>
      <c r="G38" s="6"/>
      <c r="H38" s="5"/>
      <c r="I38" s="4" t="str">
        <f aca="true">IF(B38="","",IF(OR(C38="",D38="",E38&lt;&gt;"Ha",F38&lt;&gt;"Ha"),"Rekvizit to‘liq emas",IF(G38="","OK",IF(G38&lt;TODAY(),"Muddati o‘tgan",IF(G38-TODAY()&lt;=30,"30 kun ichida tugaydi","OK")))))</f>
        <v/>
      </c>
      <c r="J38" s="5"/>
    </row>
    <row r="39" customFormat="false" ht="15" hidden="false" customHeight="false" outlineLevel="0" collapsed="false">
      <c r="A39" s="5"/>
      <c r="B39" s="5"/>
      <c r="C39" s="5"/>
      <c r="D39" s="6"/>
      <c r="E39" s="5"/>
      <c r="F39" s="5"/>
      <c r="G39" s="6"/>
      <c r="H39" s="5"/>
      <c r="I39" s="4" t="str">
        <f aca="true">IF(B39="","",IF(OR(C39="",D39="",E39&lt;&gt;"Ha",F39&lt;&gt;"Ha"),"Rekvizit to‘liq emas",IF(G39="","OK",IF(G39&lt;TODAY(),"Muddati o‘tgan",IF(G39-TODAY()&lt;=30,"30 kun ichida tugaydi","OK")))))</f>
        <v/>
      </c>
      <c r="J39" s="5"/>
    </row>
    <row r="40" customFormat="false" ht="15" hidden="false" customHeight="false" outlineLevel="0" collapsed="false">
      <c r="A40" s="5"/>
      <c r="B40" s="5"/>
      <c r="C40" s="5"/>
      <c r="D40" s="6"/>
      <c r="E40" s="5"/>
      <c r="F40" s="5"/>
      <c r="G40" s="6"/>
      <c r="H40" s="5"/>
      <c r="I40" s="4" t="str">
        <f aca="true">IF(B40="","",IF(OR(C40="",D40="",E40&lt;&gt;"Ha",F40&lt;&gt;"Ha"),"Rekvizit to‘liq emas",IF(G40="","OK",IF(G40&lt;TODAY(),"Muddati o‘tgan",IF(G40-TODAY()&lt;=30,"30 kun ichida tugaydi","OK")))))</f>
        <v/>
      </c>
      <c r="J40" s="5"/>
    </row>
    <row r="41" customFormat="false" ht="15" hidden="false" customHeight="false" outlineLevel="0" collapsed="false">
      <c r="A41" s="5"/>
      <c r="B41" s="5"/>
      <c r="C41" s="5"/>
      <c r="D41" s="6"/>
      <c r="E41" s="5"/>
      <c r="F41" s="5"/>
      <c r="G41" s="6"/>
      <c r="H41" s="5"/>
      <c r="I41" s="4" t="str">
        <f aca="true">IF(B41="","",IF(OR(C41="",D41="",E41&lt;&gt;"Ha",F41&lt;&gt;"Ha"),"Rekvizit to‘liq emas",IF(G41="","OK",IF(G41&lt;TODAY(),"Muddati o‘tgan",IF(G41-TODAY()&lt;=30,"30 kun ichida tugaydi","OK")))))</f>
        <v/>
      </c>
      <c r="J41" s="5"/>
    </row>
    <row r="42" customFormat="false" ht="15" hidden="false" customHeight="false" outlineLevel="0" collapsed="false">
      <c r="A42" s="5"/>
      <c r="B42" s="5"/>
      <c r="C42" s="5"/>
      <c r="D42" s="6"/>
      <c r="E42" s="5"/>
      <c r="F42" s="5"/>
      <c r="G42" s="6"/>
      <c r="H42" s="5"/>
      <c r="I42" s="4" t="str">
        <f aca="true">IF(B42="","",IF(OR(C42="",D42="",E42&lt;&gt;"Ha",F42&lt;&gt;"Ha"),"Rekvizit to‘liq emas",IF(G42="","OK",IF(G42&lt;TODAY(),"Muddati o‘tgan",IF(G42-TODAY()&lt;=30,"30 kun ichida tugaydi","OK")))))</f>
        <v/>
      </c>
      <c r="J42" s="5"/>
    </row>
    <row r="43" customFormat="false" ht="15" hidden="false" customHeight="false" outlineLevel="0" collapsed="false">
      <c r="A43" s="5"/>
      <c r="B43" s="5"/>
      <c r="C43" s="5"/>
      <c r="D43" s="6"/>
      <c r="E43" s="5"/>
      <c r="F43" s="5"/>
      <c r="G43" s="6"/>
      <c r="H43" s="5"/>
      <c r="I43" s="4" t="str">
        <f aca="true">IF(B43="","",IF(OR(C43="",D43="",E43&lt;&gt;"Ha",F43&lt;&gt;"Ha"),"Rekvizit to‘liq emas",IF(G43="","OK",IF(G43&lt;TODAY(),"Muddati o‘tgan",IF(G43-TODAY()&lt;=30,"30 kun ichida tugaydi","OK")))))</f>
        <v/>
      </c>
      <c r="J43" s="5"/>
    </row>
    <row r="44" customFormat="false" ht="15" hidden="false" customHeight="false" outlineLevel="0" collapsed="false">
      <c r="A44" s="5"/>
      <c r="B44" s="5"/>
      <c r="C44" s="5"/>
      <c r="D44" s="6"/>
      <c r="E44" s="5"/>
      <c r="F44" s="5"/>
      <c r="G44" s="6"/>
      <c r="H44" s="5"/>
      <c r="I44" s="4" t="str">
        <f aca="true">IF(B44="","",IF(OR(C44="",D44="",E44&lt;&gt;"Ha",F44&lt;&gt;"Ha"),"Rekvizit to‘liq emas",IF(G44="","OK",IF(G44&lt;TODAY(),"Muddati o‘tgan",IF(G44-TODAY()&lt;=30,"30 kun ichida tugaydi","OK")))))</f>
        <v/>
      </c>
      <c r="J44" s="5"/>
    </row>
    <row r="45" customFormat="false" ht="15" hidden="false" customHeight="false" outlineLevel="0" collapsed="false">
      <c r="A45" s="5"/>
      <c r="B45" s="5"/>
      <c r="C45" s="5"/>
      <c r="D45" s="6"/>
      <c r="E45" s="5"/>
      <c r="F45" s="5"/>
      <c r="G45" s="6"/>
      <c r="H45" s="5"/>
      <c r="I45" s="4" t="str">
        <f aca="true">IF(B45="","",IF(OR(C45="",D45="",E45&lt;&gt;"Ha",F45&lt;&gt;"Ha"),"Rekvizit to‘liq emas",IF(G45="","OK",IF(G45&lt;TODAY(),"Muddati o‘tgan",IF(G45-TODAY()&lt;=30,"30 kun ichida tugaydi","OK")))))</f>
        <v/>
      </c>
      <c r="J45" s="5"/>
    </row>
    <row r="46" customFormat="false" ht="15" hidden="false" customHeight="false" outlineLevel="0" collapsed="false">
      <c r="A46" s="5"/>
      <c r="B46" s="5"/>
      <c r="C46" s="5"/>
      <c r="D46" s="6"/>
      <c r="E46" s="5"/>
      <c r="F46" s="5"/>
      <c r="G46" s="6"/>
      <c r="H46" s="5"/>
      <c r="I46" s="4" t="str">
        <f aca="true">IF(B46="","",IF(OR(C46="",D46="",E46&lt;&gt;"Ha",F46&lt;&gt;"Ha"),"Rekvizit to‘liq emas",IF(G46="","OK",IF(G46&lt;TODAY(),"Muddati o‘tgan",IF(G46-TODAY()&lt;=30,"30 kun ichida tugaydi","OK")))))</f>
        <v/>
      </c>
      <c r="J46" s="5"/>
    </row>
    <row r="47" customFormat="false" ht="15" hidden="false" customHeight="false" outlineLevel="0" collapsed="false">
      <c r="A47" s="5"/>
      <c r="B47" s="5"/>
      <c r="C47" s="5"/>
      <c r="D47" s="6"/>
      <c r="E47" s="5"/>
      <c r="F47" s="5"/>
      <c r="G47" s="6"/>
      <c r="H47" s="5"/>
      <c r="I47" s="4" t="str">
        <f aca="true">IF(B47="","",IF(OR(C47="",D47="",E47&lt;&gt;"Ha",F47&lt;&gt;"Ha"),"Rekvizit to‘liq emas",IF(G47="","OK",IF(G47&lt;TODAY(),"Muddati o‘tgan",IF(G47-TODAY()&lt;=30,"30 kun ichida tugaydi","OK")))))</f>
        <v/>
      </c>
      <c r="J47" s="5"/>
    </row>
    <row r="48" customFormat="false" ht="15" hidden="false" customHeight="false" outlineLevel="0" collapsed="false">
      <c r="A48" s="5"/>
      <c r="B48" s="5"/>
      <c r="C48" s="5"/>
      <c r="D48" s="6"/>
      <c r="E48" s="5"/>
      <c r="F48" s="5"/>
      <c r="G48" s="6"/>
      <c r="H48" s="5"/>
      <c r="I48" s="4" t="str">
        <f aca="true">IF(B48="","",IF(OR(C48="",D48="",E48&lt;&gt;"Ha",F48&lt;&gt;"Ha"),"Rekvizit to‘liq emas",IF(G48="","OK",IF(G48&lt;TODAY(),"Muddati o‘tgan",IF(G48-TODAY()&lt;=30,"30 kun ichida tugaydi","OK")))))</f>
        <v/>
      </c>
      <c r="J48" s="5"/>
    </row>
    <row r="49" customFormat="false" ht="15" hidden="false" customHeight="false" outlineLevel="0" collapsed="false">
      <c r="A49" s="5"/>
      <c r="B49" s="5"/>
      <c r="C49" s="5"/>
      <c r="D49" s="6"/>
      <c r="E49" s="5"/>
      <c r="F49" s="5"/>
      <c r="G49" s="6"/>
      <c r="H49" s="5"/>
      <c r="I49" s="4" t="str">
        <f aca="true">IF(B49="","",IF(OR(C49="",D49="",E49&lt;&gt;"Ha",F49&lt;&gt;"Ha"),"Rekvizit to‘liq emas",IF(G49="","OK",IF(G49&lt;TODAY(),"Muddati o‘tgan",IF(G49-TODAY()&lt;=30,"30 kun ichida tugaydi","OK")))))</f>
        <v/>
      </c>
      <c r="J49" s="5"/>
    </row>
    <row r="50" customFormat="false" ht="15" hidden="false" customHeight="false" outlineLevel="0" collapsed="false">
      <c r="A50" s="5"/>
      <c r="B50" s="5"/>
      <c r="C50" s="5"/>
      <c r="D50" s="6"/>
      <c r="E50" s="5"/>
      <c r="F50" s="5"/>
      <c r="G50" s="6"/>
      <c r="H50" s="5"/>
      <c r="I50" s="4" t="str">
        <f aca="true">IF(B50="","",IF(OR(C50="",D50="",E50&lt;&gt;"Ha",F50&lt;&gt;"Ha"),"Rekvizit to‘liq emas",IF(G50="","OK",IF(G50&lt;TODAY(),"Muddati o‘tgan",IF(G50-TODAY()&lt;=30,"30 kun ichida tugaydi","OK")))))</f>
        <v/>
      </c>
      <c r="J50" s="5"/>
    </row>
    <row r="51" customFormat="false" ht="15" hidden="false" customHeight="false" outlineLevel="0" collapsed="false">
      <c r="A51" s="5"/>
      <c r="B51" s="5"/>
      <c r="C51" s="5"/>
      <c r="D51" s="6"/>
      <c r="E51" s="5"/>
      <c r="F51" s="5"/>
      <c r="G51" s="6"/>
      <c r="H51" s="5"/>
      <c r="I51" s="4" t="str">
        <f aca="true">IF(B51="","",IF(OR(C51="",D51="",E51&lt;&gt;"Ha",F51&lt;&gt;"Ha"),"Rekvizit to‘liq emas",IF(G51="","OK",IF(G51&lt;TODAY(),"Muddati o‘tgan",IF(G51-TODAY()&lt;=30,"30 kun ichida tugaydi","OK")))))</f>
        <v/>
      </c>
      <c r="J51" s="5"/>
    </row>
    <row r="52" customFormat="false" ht="15" hidden="false" customHeight="false" outlineLevel="0" collapsed="false">
      <c r="A52" s="5"/>
      <c r="B52" s="5"/>
      <c r="C52" s="5"/>
      <c r="D52" s="6"/>
      <c r="E52" s="5"/>
      <c r="F52" s="5"/>
      <c r="G52" s="6"/>
      <c r="H52" s="5"/>
      <c r="I52" s="4" t="str">
        <f aca="true">IF(B52="","",IF(OR(C52="",D52="",E52&lt;&gt;"Ha",F52&lt;&gt;"Ha"),"Rekvizit to‘liq emas",IF(G52="","OK",IF(G52&lt;TODAY(),"Muddati o‘tgan",IF(G52-TODAY()&lt;=30,"30 kun ichida tugaydi","OK")))))</f>
        <v/>
      </c>
      <c r="J52" s="5"/>
    </row>
    <row r="53" customFormat="false" ht="15" hidden="false" customHeight="false" outlineLevel="0" collapsed="false">
      <c r="A53" s="5"/>
      <c r="B53" s="5"/>
      <c r="C53" s="5"/>
      <c r="D53" s="6"/>
      <c r="E53" s="5"/>
      <c r="F53" s="5"/>
      <c r="G53" s="6"/>
      <c r="H53" s="5"/>
      <c r="I53" s="4" t="str">
        <f aca="true">IF(B53="","",IF(OR(C53="",D53="",E53&lt;&gt;"Ha",F53&lt;&gt;"Ha"),"Rekvizit to‘liq emas",IF(G53="","OK",IF(G53&lt;TODAY(),"Muddati o‘tgan",IF(G53-TODAY()&lt;=30,"30 kun ichida tugaydi","OK")))))</f>
        <v/>
      </c>
      <c r="J53" s="5"/>
    </row>
    <row r="54" customFormat="false" ht="15" hidden="false" customHeight="false" outlineLevel="0" collapsed="false">
      <c r="A54" s="5"/>
      <c r="B54" s="5"/>
      <c r="C54" s="5"/>
      <c r="D54" s="6"/>
      <c r="E54" s="5"/>
      <c r="F54" s="5"/>
      <c r="G54" s="6"/>
      <c r="H54" s="5"/>
      <c r="I54" s="4" t="str">
        <f aca="true">IF(B54="","",IF(OR(C54="",D54="",E54&lt;&gt;"Ha",F54&lt;&gt;"Ha"),"Rekvizit to‘liq emas",IF(G54="","OK",IF(G54&lt;TODAY(),"Muddati o‘tgan",IF(G54-TODAY()&lt;=30,"30 kun ichida tugaydi","OK")))))</f>
        <v/>
      </c>
      <c r="J54" s="5"/>
    </row>
    <row r="55" customFormat="false" ht="15" hidden="false" customHeight="false" outlineLevel="0" collapsed="false">
      <c r="A55" s="5"/>
      <c r="B55" s="5"/>
      <c r="C55" s="5"/>
      <c r="D55" s="6"/>
      <c r="E55" s="5"/>
      <c r="F55" s="5"/>
      <c r="G55" s="6"/>
      <c r="H55" s="5"/>
      <c r="I55" s="4" t="str">
        <f aca="true">IF(B55="","",IF(OR(C55="",D55="",E55&lt;&gt;"Ha",F55&lt;&gt;"Ha"),"Rekvizit to‘liq emas",IF(G55="","OK",IF(G55&lt;TODAY(),"Muddati o‘tgan",IF(G55-TODAY()&lt;=30,"30 kun ichida tugaydi","OK")))))</f>
        <v/>
      </c>
      <c r="J55" s="5"/>
    </row>
    <row r="56" customFormat="false" ht="15" hidden="false" customHeight="false" outlineLevel="0" collapsed="false">
      <c r="A56" s="5"/>
      <c r="B56" s="5"/>
      <c r="C56" s="5"/>
      <c r="D56" s="6"/>
      <c r="E56" s="5"/>
      <c r="F56" s="5"/>
      <c r="G56" s="6"/>
      <c r="H56" s="5"/>
      <c r="I56" s="4" t="str">
        <f aca="true">IF(B56="","",IF(OR(C56="",D56="",E56&lt;&gt;"Ha",F56&lt;&gt;"Ha"),"Rekvizit to‘liq emas",IF(G56="","OK",IF(G56&lt;TODAY(),"Muddati o‘tgan",IF(G56-TODAY()&lt;=30,"30 kun ichida tugaydi","OK")))))</f>
        <v/>
      </c>
      <c r="J56" s="5"/>
    </row>
    <row r="57" customFormat="false" ht="15" hidden="false" customHeight="false" outlineLevel="0" collapsed="false">
      <c r="A57" s="5"/>
      <c r="B57" s="5"/>
      <c r="C57" s="5"/>
      <c r="D57" s="6"/>
      <c r="E57" s="5"/>
      <c r="F57" s="5"/>
      <c r="G57" s="6"/>
      <c r="H57" s="5"/>
      <c r="I57" s="4" t="str">
        <f aca="true">IF(B57="","",IF(OR(C57="",D57="",E57&lt;&gt;"Ha",F57&lt;&gt;"Ha"),"Rekvizit to‘liq emas",IF(G57="","OK",IF(G57&lt;TODAY(),"Muddati o‘tgan",IF(G57-TODAY()&lt;=30,"30 kun ichida tugaydi","OK")))))</f>
        <v/>
      </c>
      <c r="J57" s="5"/>
    </row>
    <row r="58" customFormat="false" ht="15" hidden="false" customHeight="false" outlineLevel="0" collapsed="false">
      <c r="A58" s="5"/>
      <c r="B58" s="5"/>
      <c r="C58" s="5"/>
      <c r="D58" s="6"/>
      <c r="E58" s="5"/>
      <c r="F58" s="5"/>
      <c r="G58" s="6"/>
      <c r="H58" s="5"/>
      <c r="I58" s="4" t="str">
        <f aca="true">IF(B58="","",IF(OR(C58="",D58="",E58&lt;&gt;"Ha",F58&lt;&gt;"Ha"),"Rekvizit to‘liq emas",IF(G58="","OK",IF(G58&lt;TODAY(),"Muddati o‘tgan",IF(G58-TODAY()&lt;=30,"30 kun ichida tugaydi","OK")))))</f>
        <v/>
      </c>
      <c r="J58" s="5"/>
    </row>
    <row r="59" customFormat="false" ht="15" hidden="false" customHeight="false" outlineLevel="0" collapsed="false">
      <c r="A59" s="5"/>
      <c r="B59" s="5"/>
      <c r="C59" s="5"/>
      <c r="D59" s="6"/>
      <c r="E59" s="5"/>
      <c r="F59" s="5"/>
      <c r="G59" s="6"/>
      <c r="H59" s="5"/>
      <c r="I59" s="4" t="str">
        <f aca="true">IF(B59="","",IF(OR(C59="",D59="",E59&lt;&gt;"Ha",F59&lt;&gt;"Ha"),"Rekvizit to‘liq emas",IF(G59="","OK",IF(G59&lt;TODAY(),"Muddati o‘tgan",IF(G59-TODAY()&lt;=30,"30 kun ichida tugaydi","OK")))))</f>
        <v/>
      </c>
      <c r="J59" s="5"/>
    </row>
    <row r="60" customFormat="false" ht="15" hidden="false" customHeight="false" outlineLevel="0" collapsed="false">
      <c r="A60" s="5"/>
      <c r="B60" s="5"/>
      <c r="C60" s="5"/>
      <c r="D60" s="6"/>
      <c r="E60" s="5"/>
      <c r="F60" s="5"/>
      <c r="G60" s="6"/>
      <c r="H60" s="5"/>
      <c r="I60" s="4" t="str">
        <f aca="true">IF(B60="","",IF(OR(C60="",D60="",E60&lt;&gt;"Ha",F60&lt;&gt;"Ha"),"Rekvizit to‘liq emas",IF(G60="","OK",IF(G60&lt;TODAY(),"Muddati o‘tgan",IF(G60-TODAY()&lt;=30,"30 kun ichida tugaydi","OK")))))</f>
        <v/>
      </c>
      <c r="J60" s="5"/>
    </row>
    <row r="61" customFormat="false" ht="15" hidden="false" customHeight="false" outlineLevel="0" collapsed="false">
      <c r="A61" s="5"/>
      <c r="B61" s="5"/>
      <c r="C61" s="5"/>
      <c r="D61" s="6"/>
      <c r="E61" s="5"/>
      <c r="F61" s="5"/>
      <c r="G61" s="6"/>
      <c r="H61" s="5"/>
      <c r="I61" s="4" t="str">
        <f aca="true">IF(B61="","",IF(OR(C61="",D61="",E61&lt;&gt;"Ha",F61&lt;&gt;"Ha"),"Rekvizit to‘liq emas",IF(G61="","OK",IF(G61&lt;TODAY(),"Muddati o‘tgan",IF(G61-TODAY()&lt;=30,"30 kun ichida tugaydi","OK")))))</f>
        <v/>
      </c>
      <c r="J61" s="5"/>
    </row>
    <row r="62" customFormat="false" ht="15" hidden="false" customHeight="false" outlineLevel="0" collapsed="false">
      <c r="A62" s="5"/>
      <c r="B62" s="5"/>
      <c r="C62" s="5"/>
      <c r="D62" s="6"/>
      <c r="E62" s="5"/>
      <c r="F62" s="5"/>
      <c r="G62" s="6"/>
      <c r="H62" s="5"/>
      <c r="I62" s="4" t="str">
        <f aca="true">IF(B62="","",IF(OR(C62="",D62="",E62&lt;&gt;"Ha",F62&lt;&gt;"Ha"),"Rekvizit to‘liq emas",IF(G62="","OK",IF(G62&lt;TODAY(),"Muddati o‘tgan",IF(G62-TODAY()&lt;=30,"30 kun ichida tugaydi","OK")))))</f>
        <v/>
      </c>
      <c r="J62" s="5"/>
    </row>
    <row r="63" customFormat="false" ht="15" hidden="false" customHeight="false" outlineLevel="0" collapsed="false">
      <c r="A63" s="5"/>
      <c r="B63" s="5"/>
      <c r="C63" s="5"/>
      <c r="D63" s="6"/>
      <c r="E63" s="5"/>
      <c r="F63" s="5"/>
      <c r="G63" s="6"/>
      <c r="H63" s="5"/>
      <c r="I63" s="4" t="str">
        <f aca="true">IF(B63="","",IF(OR(C63="",D63="",E63&lt;&gt;"Ha",F63&lt;&gt;"Ha"),"Rekvizit to‘liq emas",IF(G63="","OK",IF(G63&lt;TODAY(),"Muddati o‘tgan",IF(G63-TODAY()&lt;=30,"30 kun ichida tugaydi","OK")))))</f>
        <v/>
      </c>
      <c r="J63" s="5"/>
    </row>
    <row r="64" customFormat="false" ht="15" hidden="false" customHeight="false" outlineLevel="0" collapsed="false">
      <c r="A64" s="5"/>
      <c r="B64" s="5"/>
      <c r="C64" s="5"/>
      <c r="D64" s="6"/>
      <c r="E64" s="5"/>
      <c r="F64" s="5"/>
      <c r="G64" s="6"/>
      <c r="H64" s="5"/>
      <c r="I64" s="4" t="str">
        <f aca="true">IF(B64="","",IF(OR(C64="",D64="",E64&lt;&gt;"Ha",F64&lt;&gt;"Ha"),"Rekvizit to‘liq emas",IF(G64="","OK",IF(G64&lt;TODAY(),"Muddati o‘tgan",IF(G64-TODAY()&lt;=30,"30 kun ichida tugaydi","OK")))))</f>
        <v/>
      </c>
      <c r="J64" s="5"/>
    </row>
    <row r="65" customFormat="false" ht="15" hidden="false" customHeight="false" outlineLevel="0" collapsed="false">
      <c r="A65" s="5"/>
      <c r="B65" s="5"/>
      <c r="C65" s="5"/>
      <c r="D65" s="6"/>
      <c r="E65" s="5"/>
      <c r="F65" s="5"/>
      <c r="G65" s="6"/>
      <c r="H65" s="5"/>
      <c r="I65" s="4" t="str">
        <f aca="true">IF(B65="","",IF(OR(C65="",D65="",E65&lt;&gt;"Ha",F65&lt;&gt;"Ha"),"Rekvizit to‘liq emas",IF(G65="","OK",IF(G65&lt;TODAY(),"Muddati o‘tgan",IF(G65-TODAY()&lt;=30,"30 kun ichida tugaydi","OK")))))</f>
        <v/>
      </c>
      <c r="J65" s="5"/>
    </row>
    <row r="66" customFormat="false" ht="15" hidden="false" customHeight="false" outlineLevel="0" collapsed="false">
      <c r="A66" s="5"/>
      <c r="B66" s="5"/>
      <c r="C66" s="5"/>
      <c r="D66" s="6"/>
      <c r="E66" s="5"/>
      <c r="F66" s="5"/>
      <c r="G66" s="6"/>
      <c r="H66" s="5"/>
      <c r="I66" s="4" t="str">
        <f aca="true">IF(B66="","",IF(OR(C66="",D66="",E66&lt;&gt;"Ha",F66&lt;&gt;"Ha"),"Rekvizit to‘liq emas",IF(G66="","OK",IF(G66&lt;TODAY(),"Muddati o‘tgan",IF(G66-TODAY()&lt;=30,"30 kun ichida tugaydi","OK")))))</f>
        <v/>
      </c>
      <c r="J66" s="5"/>
    </row>
    <row r="67" customFormat="false" ht="15" hidden="false" customHeight="false" outlineLevel="0" collapsed="false">
      <c r="A67" s="5"/>
      <c r="B67" s="5"/>
      <c r="C67" s="5"/>
      <c r="D67" s="6"/>
      <c r="E67" s="5"/>
      <c r="F67" s="5"/>
      <c r="G67" s="6"/>
      <c r="H67" s="5"/>
      <c r="I67" s="4" t="str">
        <f aca="true">IF(B67="","",IF(OR(C67="",D67="",E67&lt;&gt;"Ha",F67&lt;&gt;"Ha"),"Rekvizit to‘liq emas",IF(G67="","OK",IF(G67&lt;TODAY(),"Muddati o‘tgan",IF(G67-TODAY()&lt;=30,"30 kun ichida tugaydi","OK")))))</f>
        <v/>
      </c>
      <c r="J67" s="5"/>
    </row>
    <row r="68" customFormat="false" ht="15" hidden="false" customHeight="false" outlineLevel="0" collapsed="false">
      <c r="A68" s="5"/>
      <c r="B68" s="5"/>
      <c r="C68" s="5"/>
      <c r="D68" s="6"/>
      <c r="E68" s="5"/>
      <c r="F68" s="5"/>
      <c r="G68" s="6"/>
      <c r="H68" s="5"/>
      <c r="I68" s="4" t="str">
        <f aca="true">IF(B68="","",IF(OR(C68="",D68="",E68&lt;&gt;"Ha",F68&lt;&gt;"Ha"),"Rekvizit to‘liq emas",IF(G68="","OK",IF(G68&lt;TODAY(),"Muddati o‘tgan",IF(G68-TODAY()&lt;=30,"30 kun ichida tugaydi","OK")))))</f>
        <v/>
      </c>
      <c r="J68" s="5"/>
    </row>
    <row r="69" customFormat="false" ht="15" hidden="false" customHeight="false" outlineLevel="0" collapsed="false">
      <c r="A69" s="5"/>
      <c r="B69" s="5"/>
      <c r="C69" s="5"/>
      <c r="D69" s="6"/>
      <c r="E69" s="5"/>
      <c r="F69" s="5"/>
      <c r="G69" s="6"/>
      <c r="H69" s="5"/>
      <c r="I69" s="4" t="str">
        <f aca="true">IF(B69="","",IF(OR(C69="",D69="",E69&lt;&gt;"Ha",F69&lt;&gt;"Ha"),"Rekvizit to‘liq emas",IF(G69="","OK",IF(G69&lt;TODAY(),"Muddati o‘tgan",IF(G69-TODAY()&lt;=30,"30 kun ichida tugaydi","OK")))))</f>
        <v/>
      </c>
      <c r="J69" s="5"/>
    </row>
    <row r="70" customFormat="false" ht="15" hidden="false" customHeight="false" outlineLevel="0" collapsed="false">
      <c r="A70" s="5"/>
      <c r="B70" s="5"/>
      <c r="C70" s="5"/>
      <c r="D70" s="6"/>
      <c r="E70" s="5"/>
      <c r="F70" s="5"/>
      <c r="G70" s="6"/>
      <c r="H70" s="5"/>
      <c r="I70" s="4" t="str">
        <f aca="true">IF(B70="","",IF(OR(C70="",D70="",E70&lt;&gt;"Ha",F70&lt;&gt;"Ha"),"Rekvizit to‘liq emas",IF(G70="","OK",IF(G70&lt;TODAY(),"Muddati o‘tgan",IF(G70-TODAY()&lt;=30,"30 kun ichida tugaydi","OK")))))</f>
        <v/>
      </c>
      <c r="J70" s="5"/>
    </row>
    <row r="71" customFormat="false" ht="15" hidden="false" customHeight="false" outlineLevel="0" collapsed="false">
      <c r="A71" s="5"/>
      <c r="B71" s="5"/>
      <c r="C71" s="5"/>
      <c r="D71" s="6"/>
      <c r="E71" s="5"/>
      <c r="F71" s="5"/>
      <c r="G71" s="6"/>
      <c r="H71" s="5"/>
      <c r="I71" s="4" t="str">
        <f aca="true">IF(B71="","",IF(OR(C71="",D71="",E71&lt;&gt;"Ha",F71&lt;&gt;"Ha"),"Rekvizit to‘liq emas",IF(G71="","OK",IF(G71&lt;TODAY(),"Muddati o‘tgan",IF(G71-TODAY()&lt;=30,"30 kun ichida tugaydi","OK")))))</f>
        <v/>
      </c>
      <c r="J71" s="5"/>
    </row>
    <row r="72" customFormat="false" ht="15" hidden="false" customHeight="false" outlineLevel="0" collapsed="false">
      <c r="A72" s="5"/>
      <c r="B72" s="5"/>
      <c r="C72" s="5"/>
      <c r="D72" s="6"/>
      <c r="E72" s="5"/>
      <c r="F72" s="5"/>
      <c r="G72" s="6"/>
      <c r="H72" s="5"/>
      <c r="I72" s="4" t="str">
        <f aca="true">IF(B72="","",IF(OR(C72="",D72="",E72&lt;&gt;"Ha",F72&lt;&gt;"Ha"),"Rekvizit to‘liq emas",IF(G72="","OK",IF(G72&lt;TODAY(),"Muddati o‘tgan",IF(G72-TODAY()&lt;=30,"30 kun ichida tugaydi","OK")))))</f>
        <v/>
      </c>
      <c r="J72" s="5"/>
    </row>
    <row r="73" customFormat="false" ht="15" hidden="false" customHeight="false" outlineLevel="0" collapsed="false">
      <c r="A73" s="5"/>
      <c r="B73" s="5"/>
      <c r="C73" s="5"/>
      <c r="D73" s="6"/>
      <c r="E73" s="5"/>
      <c r="F73" s="5"/>
      <c r="G73" s="6"/>
      <c r="H73" s="5"/>
      <c r="I73" s="4" t="str">
        <f aca="true">IF(B73="","",IF(OR(C73="",D73="",E73&lt;&gt;"Ha",F73&lt;&gt;"Ha"),"Rekvizit to‘liq emas",IF(G73="","OK",IF(G73&lt;TODAY(),"Muddati o‘tgan",IF(G73-TODAY()&lt;=30,"30 kun ichida tugaydi","OK")))))</f>
        <v/>
      </c>
      <c r="J73" s="5"/>
    </row>
    <row r="74" customFormat="false" ht="15" hidden="false" customHeight="false" outlineLevel="0" collapsed="false">
      <c r="A74" s="5"/>
      <c r="B74" s="5"/>
      <c r="C74" s="5"/>
      <c r="D74" s="6"/>
      <c r="E74" s="5"/>
      <c r="F74" s="5"/>
      <c r="G74" s="6"/>
      <c r="H74" s="5"/>
      <c r="I74" s="4" t="str">
        <f aca="true">IF(B74="","",IF(OR(C74="",D74="",E74&lt;&gt;"Ha",F74&lt;&gt;"Ha"),"Rekvizit to‘liq emas",IF(G74="","OK",IF(G74&lt;TODAY(),"Muddati o‘tgan",IF(G74-TODAY()&lt;=30,"30 kun ichida tugaydi","OK")))))</f>
        <v/>
      </c>
      <c r="J74" s="5"/>
    </row>
    <row r="75" customFormat="false" ht="15" hidden="false" customHeight="false" outlineLevel="0" collapsed="false">
      <c r="A75" s="5"/>
      <c r="B75" s="5"/>
      <c r="C75" s="5"/>
      <c r="D75" s="6"/>
      <c r="E75" s="5"/>
      <c r="F75" s="5"/>
      <c r="G75" s="6"/>
      <c r="H75" s="5"/>
      <c r="I75" s="4" t="str">
        <f aca="true">IF(B75="","",IF(OR(C75="",D75="",E75&lt;&gt;"Ha",F75&lt;&gt;"Ha"),"Rekvizit to‘liq emas",IF(G75="","OK",IF(G75&lt;TODAY(),"Muddati o‘tgan",IF(G75-TODAY()&lt;=30,"30 kun ichida tugaydi","OK")))))</f>
        <v/>
      </c>
      <c r="J75" s="5"/>
    </row>
    <row r="76" customFormat="false" ht="15" hidden="false" customHeight="false" outlineLevel="0" collapsed="false">
      <c r="A76" s="5"/>
      <c r="B76" s="5"/>
      <c r="C76" s="5"/>
      <c r="D76" s="6"/>
      <c r="E76" s="5"/>
      <c r="F76" s="5"/>
      <c r="G76" s="6"/>
      <c r="H76" s="5"/>
      <c r="I76" s="4" t="str">
        <f aca="true">IF(B76="","",IF(OR(C76="",D76="",E76&lt;&gt;"Ha",F76&lt;&gt;"Ha"),"Rekvizit to‘liq emas",IF(G76="","OK",IF(G76&lt;TODAY(),"Muddati o‘tgan",IF(G76-TODAY()&lt;=30,"30 kun ichida tugaydi","OK")))))</f>
        <v/>
      </c>
      <c r="J76" s="5"/>
    </row>
    <row r="77" customFormat="false" ht="15" hidden="false" customHeight="false" outlineLevel="0" collapsed="false">
      <c r="A77" s="5"/>
      <c r="B77" s="5"/>
      <c r="C77" s="5"/>
      <c r="D77" s="6"/>
      <c r="E77" s="5"/>
      <c r="F77" s="5"/>
      <c r="G77" s="6"/>
      <c r="H77" s="5"/>
      <c r="I77" s="4" t="str">
        <f aca="true">IF(B77="","",IF(OR(C77="",D77="",E77&lt;&gt;"Ha",F77&lt;&gt;"Ha"),"Rekvizit to‘liq emas",IF(G77="","OK",IF(G77&lt;TODAY(),"Muddati o‘tgan",IF(G77-TODAY()&lt;=30,"30 kun ichida tugaydi","OK")))))</f>
        <v/>
      </c>
      <c r="J77" s="5"/>
    </row>
    <row r="78" customFormat="false" ht="15" hidden="false" customHeight="false" outlineLevel="0" collapsed="false">
      <c r="A78" s="5"/>
      <c r="B78" s="5"/>
      <c r="C78" s="5"/>
      <c r="D78" s="6"/>
      <c r="E78" s="5"/>
      <c r="F78" s="5"/>
      <c r="G78" s="6"/>
      <c r="H78" s="5"/>
      <c r="I78" s="4" t="str">
        <f aca="true">IF(B78="","",IF(OR(C78="",D78="",E78&lt;&gt;"Ha",F78&lt;&gt;"Ha"),"Rekvizit to‘liq emas",IF(G78="","OK",IF(G78&lt;TODAY(),"Muddati o‘tgan",IF(G78-TODAY()&lt;=30,"30 kun ichida tugaydi","OK")))))</f>
        <v/>
      </c>
      <c r="J78" s="5"/>
    </row>
    <row r="79" customFormat="false" ht="15" hidden="false" customHeight="false" outlineLevel="0" collapsed="false">
      <c r="A79" s="5"/>
      <c r="B79" s="5"/>
      <c r="C79" s="5"/>
      <c r="D79" s="6"/>
      <c r="E79" s="5"/>
      <c r="F79" s="5"/>
      <c r="G79" s="6"/>
      <c r="H79" s="5"/>
      <c r="I79" s="4" t="str">
        <f aca="true">IF(B79="","",IF(OR(C79="",D79="",E79&lt;&gt;"Ha",F79&lt;&gt;"Ha"),"Rekvizit to‘liq emas",IF(G79="","OK",IF(G79&lt;TODAY(),"Muddati o‘tgan",IF(G79-TODAY()&lt;=30,"30 kun ichida tugaydi","OK")))))</f>
        <v/>
      </c>
      <c r="J79" s="5"/>
    </row>
    <row r="80" customFormat="false" ht="15" hidden="false" customHeight="false" outlineLevel="0" collapsed="false">
      <c r="A80" s="5"/>
      <c r="B80" s="5"/>
      <c r="C80" s="5"/>
      <c r="D80" s="6"/>
      <c r="E80" s="5"/>
      <c r="F80" s="5"/>
      <c r="G80" s="6"/>
      <c r="H80" s="5"/>
      <c r="I80" s="4" t="str">
        <f aca="true">IF(B80="","",IF(OR(C80="",D80="",E80&lt;&gt;"Ha",F80&lt;&gt;"Ha"),"Rekvizit to‘liq emas",IF(G80="","OK",IF(G80&lt;TODAY(),"Muddati o‘tgan",IF(G80-TODAY()&lt;=30,"30 kun ichida tugaydi","OK")))))</f>
        <v/>
      </c>
      <c r="J80" s="5"/>
    </row>
    <row r="81" customFormat="false" ht="15" hidden="false" customHeight="false" outlineLevel="0" collapsed="false">
      <c r="A81" s="5"/>
      <c r="B81" s="5"/>
      <c r="C81" s="5"/>
      <c r="D81" s="6"/>
      <c r="E81" s="5"/>
      <c r="F81" s="5"/>
      <c r="G81" s="6"/>
      <c r="H81" s="5"/>
      <c r="I81" s="4" t="str">
        <f aca="true">IF(B81="","",IF(OR(C81="",D81="",E81&lt;&gt;"Ha",F81&lt;&gt;"Ha"),"Rekvizit to‘liq emas",IF(G81="","OK",IF(G81&lt;TODAY(),"Muddati o‘tgan",IF(G81-TODAY()&lt;=30,"30 kun ichida tugaydi","OK")))))</f>
        <v/>
      </c>
      <c r="J81" s="5"/>
    </row>
    <row r="82" customFormat="false" ht="15" hidden="false" customHeight="false" outlineLevel="0" collapsed="false">
      <c r="A82" s="5"/>
      <c r="B82" s="5"/>
      <c r="C82" s="5"/>
      <c r="D82" s="6"/>
      <c r="E82" s="5"/>
      <c r="F82" s="5"/>
      <c r="G82" s="6"/>
      <c r="H82" s="5"/>
      <c r="I82" s="4" t="str">
        <f aca="true">IF(B82="","",IF(OR(C82="",D82="",E82&lt;&gt;"Ha",F82&lt;&gt;"Ha"),"Rekvizit to‘liq emas",IF(G82="","OK",IF(G82&lt;TODAY(),"Muddati o‘tgan",IF(G82-TODAY()&lt;=30,"30 kun ichida tugaydi","OK")))))</f>
        <v/>
      </c>
      <c r="J82" s="5"/>
    </row>
    <row r="83" customFormat="false" ht="15" hidden="false" customHeight="false" outlineLevel="0" collapsed="false">
      <c r="A83" s="5"/>
      <c r="B83" s="5"/>
      <c r="C83" s="5"/>
      <c r="D83" s="6"/>
      <c r="E83" s="5"/>
      <c r="F83" s="5"/>
      <c r="G83" s="6"/>
      <c r="H83" s="5"/>
      <c r="I83" s="4" t="str">
        <f aca="true">IF(B83="","",IF(OR(C83="",D83="",E83&lt;&gt;"Ha",F83&lt;&gt;"Ha"),"Rekvizit to‘liq emas",IF(G83="","OK",IF(G83&lt;TODAY(),"Muddati o‘tgan",IF(G83-TODAY()&lt;=30,"30 kun ichida tugaydi","OK")))))</f>
        <v/>
      </c>
      <c r="J83" s="5"/>
    </row>
    <row r="84" customFormat="false" ht="15" hidden="false" customHeight="false" outlineLevel="0" collapsed="false">
      <c r="A84" s="5"/>
      <c r="B84" s="5"/>
      <c r="C84" s="5"/>
      <c r="D84" s="6"/>
      <c r="E84" s="5"/>
      <c r="F84" s="5"/>
      <c r="G84" s="6"/>
      <c r="H84" s="5"/>
      <c r="I84" s="4" t="str">
        <f aca="true">IF(B84="","",IF(OR(C84="",D84="",E84&lt;&gt;"Ha",F84&lt;&gt;"Ha"),"Rekvizit to‘liq emas",IF(G84="","OK",IF(G84&lt;TODAY(),"Muddati o‘tgan",IF(G84-TODAY()&lt;=30,"30 kun ichida tugaydi","OK")))))</f>
        <v/>
      </c>
      <c r="J84" s="5"/>
    </row>
    <row r="85" customFormat="false" ht="15" hidden="false" customHeight="false" outlineLevel="0" collapsed="false">
      <c r="A85" s="5"/>
      <c r="B85" s="5"/>
      <c r="C85" s="5"/>
      <c r="D85" s="6"/>
      <c r="E85" s="5"/>
      <c r="F85" s="5"/>
      <c r="G85" s="6"/>
      <c r="H85" s="5"/>
      <c r="I85" s="4" t="str">
        <f aca="true">IF(B85="","",IF(OR(C85="",D85="",E85&lt;&gt;"Ha",F85&lt;&gt;"Ha"),"Rekvizit to‘liq emas",IF(G85="","OK",IF(G85&lt;TODAY(),"Muddati o‘tgan",IF(G85-TODAY()&lt;=30,"30 kun ichida tugaydi","OK")))))</f>
        <v/>
      </c>
      <c r="J85" s="5"/>
    </row>
    <row r="86" customFormat="false" ht="15" hidden="false" customHeight="false" outlineLevel="0" collapsed="false">
      <c r="A86" s="5"/>
      <c r="B86" s="5"/>
      <c r="C86" s="5"/>
      <c r="D86" s="6"/>
      <c r="E86" s="5"/>
      <c r="F86" s="5"/>
      <c r="G86" s="6"/>
      <c r="H86" s="5"/>
      <c r="I86" s="4" t="str">
        <f aca="true">IF(B86="","",IF(OR(C86="",D86="",E86&lt;&gt;"Ha",F86&lt;&gt;"Ha"),"Rekvizit to‘liq emas",IF(G86="","OK",IF(G86&lt;TODAY(),"Muddati o‘tgan",IF(G86-TODAY()&lt;=30,"30 kun ichida tugaydi","OK")))))</f>
        <v/>
      </c>
      <c r="J86" s="5"/>
    </row>
    <row r="87" customFormat="false" ht="15" hidden="false" customHeight="false" outlineLevel="0" collapsed="false">
      <c r="A87" s="5"/>
      <c r="B87" s="5"/>
      <c r="C87" s="5"/>
      <c r="D87" s="6"/>
      <c r="E87" s="5"/>
      <c r="F87" s="5"/>
      <c r="G87" s="6"/>
      <c r="H87" s="5"/>
      <c r="I87" s="4" t="str">
        <f aca="true">IF(B87="","",IF(OR(C87="",D87="",E87&lt;&gt;"Ha",F87&lt;&gt;"Ha"),"Rekvizit to‘liq emas",IF(G87="","OK",IF(G87&lt;TODAY(),"Muddati o‘tgan",IF(G87-TODAY()&lt;=30,"30 kun ichida tugaydi","OK")))))</f>
        <v/>
      </c>
      <c r="J87" s="5"/>
    </row>
    <row r="88" customFormat="false" ht="15" hidden="false" customHeight="false" outlineLevel="0" collapsed="false">
      <c r="A88" s="5"/>
      <c r="B88" s="5"/>
      <c r="C88" s="5"/>
      <c r="D88" s="6"/>
      <c r="E88" s="5"/>
      <c r="F88" s="5"/>
      <c r="G88" s="6"/>
      <c r="H88" s="5"/>
      <c r="I88" s="4" t="str">
        <f aca="true">IF(B88="","",IF(OR(C88="",D88="",E88&lt;&gt;"Ha",F88&lt;&gt;"Ha"),"Rekvizit to‘liq emas",IF(G88="","OK",IF(G88&lt;TODAY(),"Muddati o‘tgan",IF(G88-TODAY()&lt;=30,"30 kun ichida tugaydi","OK")))))</f>
        <v/>
      </c>
      <c r="J88" s="5"/>
    </row>
    <row r="89" customFormat="false" ht="15" hidden="false" customHeight="false" outlineLevel="0" collapsed="false">
      <c r="A89" s="5"/>
      <c r="B89" s="5"/>
      <c r="C89" s="5"/>
      <c r="D89" s="6"/>
      <c r="E89" s="5"/>
      <c r="F89" s="5"/>
      <c r="G89" s="6"/>
      <c r="H89" s="5"/>
      <c r="I89" s="4" t="str">
        <f aca="true">IF(B89="","",IF(OR(C89="",D89="",E89&lt;&gt;"Ha",F89&lt;&gt;"Ha"),"Rekvizit to‘liq emas",IF(G89="","OK",IF(G89&lt;TODAY(),"Muddati o‘tgan",IF(G89-TODAY()&lt;=30,"30 kun ichida tugaydi","OK")))))</f>
        <v/>
      </c>
      <c r="J89" s="5"/>
    </row>
    <row r="90" customFormat="false" ht="15" hidden="false" customHeight="false" outlineLevel="0" collapsed="false">
      <c r="A90" s="5"/>
      <c r="B90" s="5"/>
      <c r="C90" s="5"/>
      <c r="D90" s="6"/>
      <c r="E90" s="5"/>
      <c r="F90" s="5"/>
      <c r="G90" s="6"/>
      <c r="H90" s="5"/>
      <c r="I90" s="4" t="str">
        <f aca="true">IF(B90="","",IF(OR(C90="",D90="",E90&lt;&gt;"Ha",F90&lt;&gt;"Ha"),"Rekvizit to‘liq emas",IF(G90="","OK",IF(G90&lt;TODAY(),"Muddati o‘tgan",IF(G90-TODAY()&lt;=30,"30 kun ichida tugaydi","OK")))))</f>
        <v/>
      </c>
      <c r="J90" s="5"/>
    </row>
    <row r="91" customFormat="false" ht="15" hidden="false" customHeight="false" outlineLevel="0" collapsed="false">
      <c r="A91" s="5"/>
      <c r="B91" s="5"/>
      <c r="C91" s="5"/>
      <c r="D91" s="6"/>
      <c r="E91" s="5"/>
      <c r="F91" s="5"/>
      <c r="G91" s="6"/>
      <c r="H91" s="5"/>
      <c r="I91" s="4" t="str">
        <f aca="true">IF(B91="","",IF(OR(C91="",D91="",E91&lt;&gt;"Ha",F91&lt;&gt;"Ha"),"Rekvizit to‘liq emas",IF(G91="","OK",IF(G91&lt;TODAY(),"Muddati o‘tgan",IF(G91-TODAY()&lt;=30,"30 kun ichida tugaydi","OK")))))</f>
        <v/>
      </c>
      <c r="J91" s="5"/>
    </row>
    <row r="92" customFormat="false" ht="15" hidden="false" customHeight="false" outlineLevel="0" collapsed="false">
      <c r="A92" s="5"/>
      <c r="B92" s="5"/>
      <c r="C92" s="5"/>
      <c r="D92" s="6"/>
      <c r="E92" s="5"/>
      <c r="F92" s="5"/>
      <c r="G92" s="6"/>
      <c r="H92" s="5"/>
      <c r="I92" s="4" t="str">
        <f aca="true">IF(B92="","",IF(OR(C92="",D92="",E92&lt;&gt;"Ha",F92&lt;&gt;"Ha"),"Rekvizit to‘liq emas",IF(G92="","OK",IF(G92&lt;TODAY(),"Muddati o‘tgan",IF(G92-TODAY()&lt;=30,"30 kun ichida tugaydi","OK")))))</f>
        <v/>
      </c>
      <c r="J92" s="5"/>
    </row>
    <row r="93" customFormat="false" ht="15" hidden="false" customHeight="false" outlineLevel="0" collapsed="false">
      <c r="A93" s="5"/>
      <c r="B93" s="5"/>
      <c r="C93" s="5"/>
      <c r="D93" s="6"/>
      <c r="E93" s="5"/>
      <c r="F93" s="5"/>
      <c r="G93" s="6"/>
      <c r="H93" s="5"/>
      <c r="I93" s="4" t="str">
        <f aca="true">IF(B93="","",IF(OR(C93="",D93="",E93&lt;&gt;"Ha",F93&lt;&gt;"Ha"),"Rekvizit to‘liq emas",IF(G93="","OK",IF(G93&lt;TODAY(),"Muddati o‘tgan",IF(G93-TODAY()&lt;=30,"30 kun ichida tugaydi","OK")))))</f>
        <v/>
      </c>
      <c r="J93" s="5"/>
    </row>
    <row r="94" customFormat="false" ht="15" hidden="false" customHeight="false" outlineLevel="0" collapsed="false">
      <c r="A94" s="5"/>
      <c r="B94" s="5"/>
      <c r="C94" s="5"/>
      <c r="D94" s="6"/>
      <c r="E94" s="5"/>
      <c r="F94" s="5"/>
      <c r="G94" s="6"/>
      <c r="H94" s="5"/>
      <c r="I94" s="4" t="str">
        <f aca="true">IF(B94="","",IF(OR(C94="",D94="",E94&lt;&gt;"Ha",F94&lt;&gt;"Ha"),"Rekvizit to‘liq emas",IF(G94="","OK",IF(G94&lt;TODAY(),"Muddati o‘tgan",IF(G94-TODAY()&lt;=30,"30 kun ichida tugaydi","OK")))))</f>
        <v/>
      </c>
      <c r="J94" s="5"/>
    </row>
    <row r="95" customFormat="false" ht="15" hidden="false" customHeight="false" outlineLevel="0" collapsed="false">
      <c r="A95" s="5"/>
      <c r="B95" s="5"/>
      <c r="C95" s="5"/>
      <c r="D95" s="6"/>
      <c r="E95" s="5"/>
      <c r="F95" s="5"/>
      <c r="G95" s="6"/>
      <c r="H95" s="5"/>
      <c r="I95" s="4" t="str">
        <f aca="true">IF(B95="","",IF(OR(C95="",D95="",E95&lt;&gt;"Ha",F95&lt;&gt;"Ha"),"Rekvizit to‘liq emas",IF(G95="","OK",IF(G95&lt;TODAY(),"Muddati o‘tgan",IF(G95-TODAY()&lt;=30,"30 kun ichida tugaydi","OK")))))</f>
        <v/>
      </c>
      <c r="J95" s="5"/>
    </row>
    <row r="96" customFormat="false" ht="15" hidden="false" customHeight="false" outlineLevel="0" collapsed="false">
      <c r="A96" s="5"/>
      <c r="B96" s="5"/>
      <c r="C96" s="5"/>
      <c r="D96" s="6"/>
      <c r="E96" s="5"/>
      <c r="F96" s="5"/>
      <c r="G96" s="6"/>
      <c r="H96" s="5"/>
      <c r="I96" s="4" t="str">
        <f aca="true">IF(B96="","",IF(OR(C96="",D96="",E96&lt;&gt;"Ha",F96&lt;&gt;"Ha"),"Rekvizit to‘liq emas",IF(G96="","OK",IF(G96&lt;TODAY(),"Muddati o‘tgan",IF(G96-TODAY()&lt;=30,"30 kun ichida tugaydi","OK")))))</f>
        <v/>
      </c>
      <c r="J96" s="5"/>
    </row>
    <row r="97" customFormat="false" ht="15" hidden="false" customHeight="false" outlineLevel="0" collapsed="false">
      <c r="A97" s="5"/>
      <c r="B97" s="5"/>
      <c r="C97" s="5"/>
      <c r="D97" s="6"/>
      <c r="E97" s="5"/>
      <c r="F97" s="5"/>
      <c r="G97" s="6"/>
      <c r="H97" s="5"/>
      <c r="I97" s="4" t="str">
        <f aca="true">IF(B97="","",IF(OR(C97="",D97="",E97&lt;&gt;"Ha",F97&lt;&gt;"Ha"),"Rekvizit to‘liq emas",IF(G97="","OK",IF(G97&lt;TODAY(),"Muddati o‘tgan",IF(G97-TODAY()&lt;=30,"30 kun ichida tugaydi","OK")))))</f>
        <v/>
      </c>
      <c r="J97" s="5"/>
    </row>
    <row r="98" customFormat="false" ht="15" hidden="false" customHeight="false" outlineLevel="0" collapsed="false">
      <c r="A98" s="5"/>
      <c r="B98" s="5"/>
      <c r="C98" s="5"/>
      <c r="D98" s="6"/>
      <c r="E98" s="5"/>
      <c r="F98" s="5"/>
      <c r="G98" s="6"/>
      <c r="H98" s="5"/>
      <c r="I98" s="4" t="str">
        <f aca="true">IF(B98="","",IF(OR(C98="",D98="",E98&lt;&gt;"Ha",F98&lt;&gt;"Ha"),"Rekvizit to‘liq emas",IF(G98="","OK",IF(G98&lt;TODAY(),"Muddati o‘tgan",IF(G98-TODAY()&lt;=30,"30 kun ichida tugaydi","OK")))))</f>
        <v/>
      </c>
      <c r="J98" s="5"/>
    </row>
    <row r="99" customFormat="false" ht="15" hidden="false" customHeight="false" outlineLevel="0" collapsed="false">
      <c r="A99" s="5"/>
      <c r="B99" s="5"/>
      <c r="C99" s="5"/>
      <c r="D99" s="6"/>
      <c r="E99" s="5"/>
      <c r="F99" s="5"/>
      <c r="G99" s="6"/>
      <c r="H99" s="5"/>
      <c r="I99" s="4" t="str">
        <f aca="true">IF(B99="","",IF(OR(C99="",D99="",E99&lt;&gt;"Ha",F99&lt;&gt;"Ha"),"Rekvizit to‘liq emas",IF(G99="","OK",IF(G99&lt;TODAY(),"Muddati o‘tgan",IF(G99-TODAY()&lt;=30,"30 kun ichida tugaydi","OK")))))</f>
        <v/>
      </c>
      <c r="J99" s="5"/>
    </row>
    <row r="100" customFormat="false" ht="15" hidden="false" customHeight="false" outlineLevel="0" collapsed="false">
      <c r="A100" s="5"/>
      <c r="B100" s="5"/>
      <c r="C100" s="5"/>
      <c r="D100" s="6"/>
      <c r="E100" s="5"/>
      <c r="F100" s="5"/>
      <c r="G100" s="6"/>
      <c r="H100" s="5"/>
      <c r="I100" s="4" t="str">
        <f aca="true">IF(B100="","",IF(OR(C100="",D100="",E100&lt;&gt;"Ha",F100&lt;&gt;"Ha"),"Rekvizit to‘liq emas",IF(G100="","OK",IF(G100&lt;TODAY(),"Muddati o‘tgan",IF(G100-TODAY()&lt;=30,"30 kun ichida tugaydi","OK")))))</f>
        <v/>
      </c>
      <c r="J100" s="5"/>
    </row>
    <row r="101" customFormat="false" ht="15" hidden="false" customHeight="false" outlineLevel="0" collapsed="false">
      <c r="A101" s="5"/>
      <c r="B101" s="5"/>
      <c r="C101" s="5"/>
      <c r="D101" s="6"/>
      <c r="E101" s="5"/>
      <c r="F101" s="5"/>
      <c r="G101" s="6"/>
      <c r="H101" s="5"/>
      <c r="I101" s="4" t="str">
        <f aca="true">IF(B101="","",IF(OR(C101="",D101="",E101&lt;&gt;"Ha",F101&lt;&gt;"Ha"),"Rekvizit to‘liq emas",IF(G101="","OK",IF(G101&lt;TODAY(),"Muddati o‘tgan",IF(G101-TODAY()&lt;=30,"30 kun ichida tugaydi","OK")))))</f>
        <v/>
      </c>
      <c r="J101" s="5"/>
    </row>
    <row r="102" customFormat="false" ht="15" hidden="false" customHeight="false" outlineLevel="0" collapsed="false">
      <c r="A102" s="5"/>
      <c r="B102" s="5"/>
      <c r="C102" s="5"/>
      <c r="D102" s="6"/>
      <c r="E102" s="5"/>
      <c r="F102" s="5"/>
      <c r="G102" s="6"/>
      <c r="H102" s="5"/>
      <c r="I102" s="4" t="str">
        <f aca="true">IF(B102="","",IF(OR(C102="",D102="",E102&lt;&gt;"Ha",F102&lt;&gt;"Ha"),"Rekvizit to‘liq emas",IF(G102="","OK",IF(G102&lt;TODAY(),"Muddati o‘tgan",IF(G102-TODAY()&lt;=30,"30 kun ichida tugaydi","OK")))))</f>
        <v/>
      </c>
      <c r="J102" s="5"/>
    </row>
    <row r="103" customFormat="false" ht="15" hidden="false" customHeight="false" outlineLevel="0" collapsed="false">
      <c r="A103" s="5"/>
      <c r="B103" s="5"/>
      <c r="C103" s="5"/>
      <c r="D103" s="6"/>
      <c r="E103" s="5"/>
      <c r="F103" s="5"/>
      <c r="G103" s="6"/>
      <c r="H103" s="5"/>
      <c r="I103" s="4" t="str">
        <f aca="true">IF(B103="","",IF(OR(C103="",D103="",E103&lt;&gt;"Ha",F103&lt;&gt;"Ha"),"Rekvizit to‘liq emas",IF(G103="","OK",IF(G103&lt;TODAY(),"Muddati o‘tgan",IF(G103-TODAY()&lt;=30,"30 kun ichida tugaydi","OK")))))</f>
        <v/>
      </c>
      <c r="J103" s="5"/>
    </row>
    <row r="104" customFormat="false" ht="15" hidden="false" customHeight="false" outlineLevel="0" collapsed="false">
      <c r="A104" s="5"/>
      <c r="B104" s="5"/>
      <c r="C104" s="5"/>
      <c r="D104" s="6"/>
      <c r="E104" s="5"/>
      <c r="F104" s="5"/>
      <c r="G104" s="6"/>
      <c r="H104" s="5"/>
      <c r="I104" s="4" t="str">
        <f aca="true">IF(B104="","",IF(OR(C104="",D104="",E104&lt;&gt;"Ha",F104&lt;&gt;"Ha"),"Rekvizit to‘liq emas",IF(G104="","OK",IF(G104&lt;TODAY(),"Muddati o‘tgan",IF(G104-TODAY()&lt;=30,"30 kun ichida tugaydi","OK")))))</f>
        <v/>
      </c>
      <c r="J104" s="5"/>
    </row>
    <row r="105" customFormat="false" ht="15" hidden="false" customHeight="false" outlineLevel="0" collapsed="false">
      <c r="A105" s="5"/>
      <c r="B105" s="5"/>
      <c r="C105" s="5"/>
      <c r="D105" s="6"/>
      <c r="E105" s="5"/>
      <c r="F105" s="5"/>
      <c r="G105" s="6"/>
      <c r="H105" s="5"/>
      <c r="I105" s="4" t="str">
        <f aca="true">IF(B105="","",IF(OR(C105="",D105="",E105&lt;&gt;"Ha",F105&lt;&gt;"Ha"),"Rekvizit to‘liq emas",IF(G105="","OK",IF(G105&lt;TODAY(),"Muddati o‘tgan",IF(G105-TODAY()&lt;=30,"30 kun ichida tugaydi","OK")))))</f>
        <v/>
      </c>
      <c r="J105" s="5"/>
    </row>
    <row r="106" customFormat="false" ht="15" hidden="false" customHeight="false" outlineLevel="0" collapsed="false">
      <c r="A106" s="5"/>
      <c r="B106" s="5"/>
      <c r="C106" s="5"/>
      <c r="D106" s="6"/>
      <c r="E106" s="5"/>
      <c r="F106" s="5"/>
      <c r="G106" s="6"/>
      <c r="H106" s="5"/>
      <c r="I106" s="4" t="str">
        <f aca="true">IF(B106="","",IF(OR(C106="",D106="",E106&lt;&gt;"Ha",F106&lt;&gt;"Ha"),"Rekvizit to‘liq emas",IF(G106="","OK",IF(G106&lt;TODAY(),"Muddati o‘tgan",IF(G106-TODAY()&lt;=30,"30 kun ichida tugaydi","OK")))))</f>
        <v/>
      </c>
      <c r="J106" s="5"/>
    </row>
    <row r="107" customFormat="false" ht="15" hidden="false" customHeight="false" outlineLevel="0" collapsed="false">
      <c r="A107" s="5"/>
      <c r="B107" s="5"/>
      <c r="C107" s="5"/>
      <c r="D107" s="6"/>
      <c r="E107" s="5"/>
      <c r="F107" s="5"/>
      <c r="G107" s="6"/>
      <c r="H107" s="5"/>
      <c r="I107" s="4" t="str">
        <f aca="true">IF(B107="","",IF(OR(C107="",D107="",E107&lt;&gt;"Ha",F107&lt;&gt;"Ha"),"Rekvizit to‘liq emas",IF(G107="","OK",IF(G107&lt;TODAY(),"Muddati o‘tgan",IF(G107-TODAY()&lt;=30,"30 kun ichida tugaydi","OK")))))</f>
        <v/>
      </c>
      <c r="J107" s="5"/>
    </row>
    <row r="108" customFormat="false" ht="15" hidden="false" customHeight="false" outlineLevel="0" collapsed="false">
      <c r="A108" s="5"/>
      <c r="B108" s="5"/>
      <c r="C108" s="5"/>
      <c r="D108" s="6"/>
      <c r="E108" s="5"/>
      <c r="F108" s="5"/>
      <c r="G108" s="6"/>
      <c r="H108" s="5"/>
      <c r="I108" s="4" t="str">
        <f aca="true">IF(B108="","",IF(OR(C108="",D108="",E108&lt;&gt;"Ha",F108&lt;&gt;"Ha"),"Rekvizit to‘liq emas",IF(G108="","OK",IF(G108&lt;TODAY(),"Muddati o‘tgan",IF(G108-TODAY()&lt;=30,"30 kun ichida tugaydi","OK")))))</f>
        <v/>
      </c>
      <c r="J108" s="5"/>
    </row>
    <row r="109" customFormat="false" ht="15" hidden="false" customHeight="false" outlineLevel="0" collapsed="false">
      <c r="A109" s="5"/>
      <c r="B109" s="5"/>
      <c r="C109" s="5"/>
      <c r="D109" s="6"/>
      <c r="E109" s="5"/>
      <c r="F109" s="5"/>
      <c r="G109" s="6"/>
      <c r="H109" s="5"/>
      <c r="I109" s="4" t="str">
        <f aca="true">IF(B109="","",IF(OR(C109="",D109="",E109&lt;&gt;"Ha",F109&lt;&gt;"Ha"),"Rekvizit to‘liq emas",IF(G109="","OK",IF(G109&lt;TODAY(),"Muddati o‘tgan",IF(G109-TODAY()&lt;=30,"30 kun ichida tugaydi","OK")))))</f>
        <v/>
      </c>
      <c r="J109" s="5"/>
    </row>
    <row r="110" customFormat="false" ht="15" hidden="false" customHeight="false" outlineLevel="0" collapsed="false">
      <c r="A110" s="5"/>
      <c r="B110" s="5"/>
      <c r="C110" s="5"/>
      <c r="D110" s="6"/>
      <c r="E110" s="5"/>
      <c r="F110" s="5"/>
      <c r="G110" s="6"/>
      <c r="H110" s="5"/>
      <c r="I110" s="4" t="str">
        <f aca="true">IF(B110="","",IF(OR(C110="",D110="",E110&lt;&gt;"Ha",F110&lt;&gt;"Ha"),"Rekvizit to‘liq emas",IF(G110="","OK",IF(G110&lt;TODAY(),"Muddati o‘tgan",IF(G110-TODAY()&lt;=30,"30 kun ichida tugaydi","OK")))))</f>
        <v/>
      </c>
      <c r="J110" s="5"/>
    </row>
    <row r="111" customFormat="false" ht="15" hidden="false" customHeight="false" outlineLevel="0" collapsed="false">
      <c r="A111" s="5"/>
      <c r="B111" s="5"/>
      <c r="C111" s="5"/>
      <c r="D111" s="6"/>
      <c r="E111" s="5"/>
      <c r="F111" s="5"/>
      <c r="G111" s="6"/>
      <c r="H111" s="5"/>
      <c r="I111" s="4" t="str">
        <f aca="true">IF(B111="","",IF(OR(C111="",D111="",E111&lt;&gt;"Ha",F111&lt;&gt;"Ha"),"Rekvizit to‘liq emas",IF(G111="","OK",IF(G111&lt;TODAY(),"Muddati o‘tgan",IF(G111-TODAY()&lt;=30,"30 kun ichida tugaydi","OK")))))</f>
        <v/>
      </c>
      <c r="J111" s="5"/>
    </row>
    <row r="112" customFormat="false" ht="15" hidden="false" customHeight="false" outlineLevel="0" collapsed="false">
      <c r="A112" s="5"/>
      <c r="B112" s="5"/>
      <c r="C112" s="5"/>
      <c r="D112" s="6"/>
      <c r="E112" s="5"/>
      <c r="F112" s="5"/>
      <c r="G112" s="6"/>
      <c r="H112" s="5"/>
      <c r="I112" s="4" t="str">
        <f aca="true">IF(B112="","",IF(OR(C112="",D112="",E112&lt;&gt;"Ha",F112&lt;&gt;"Ha"),"Rekvizit to‘liq emas",IF(G112="","OK",IF(G112&lt;TODAY(),"Muddati o‘tgan",IF(G112-TODAY()&lt;=30,"30 kun ichida tugaydi","OK")))))</f>
        <v/>
      </c>
      <c r="J112" s="5"/>
    </row>
    <row r="113" customFormat="false" ht="15" hidden="false" customHeight="false" outlineLevel="0" collapsed="false">
      <c r="A113" s="5"/>
      <c r="B113" s="5"/>
      <c r="C113" s="5"/>
      <c r="D113" s="6"/>
      <c r="E113" s="5"/>
      <c r="F113" s="5"/>
      <c r="G113" s="6"/>
      <c r="H113" s="5"/>
      <c r="I113" s="4" t="str">
        <f aca="true">IF(B113="","",IF(OR(C113="",D113="",E113&lt;&gt;"Ha",F113&lt;&gt;"Ha"),"Rekvizit to‘liq emas",IF(G113="","OK",IF(G113&lt;TODAY(),"Muddati o‘tgan",IF(G113-TODAY()&lt;=30,"30 kun ichida tugaydi","OK")))))</f>
        <v/>
      </c>
      <c r="J113" s="5"/>
    </row>
    <row r="114" customFormat="false" ht="15" hidden="false" customHeight="false" outlineLevel="0" collapsed="false">
      <c r="A114" s="5"/>
      <c r="B114" s="5"/>
      <c r="C114" s="5"/>
      <c r="D114" s="6"/>
      <c r="E114" s="5"/>
      <c r="F114" s="5"/>
      <c r="G114" s="6"/>
      <c r="H114" s="5"/>
      <c r="I114" s="4" t="str">
        <f aca="true">IF(B114="","",IF(OR(C114="",D114="",E114&lt;&gt;"Ha",F114&lt;&gt;"Ha"),"Rekvizit to‘liq emas",IF(G114="","OK",IF(G114&lt;TODAY(),"Muddati o‘tgan",IF(G114-TODAY()&lt;=30,"30 kun ichida tugaydi","OK")))))</f>
        <v/>
      </c>
      <c r="J114" s="5"/>
    </row>
    <row r="115" customFormat="false" ht="15" hidden="false" customHeight="false" outlineLevel="0" collapsed="false">
      <c r="A115" s="5"/>
      <c r="B115" s="5"/>
      <c r="C115" s="5"/>
      <c r="D115" s="6"/>
      <c r="E115" s="5"/>
      <c r="F115" s="5"/>
      <c r="G115" s="6"/>
      <c r="H115" s="5"/>
      <c r="I115" s="4" t="str">
        <f aca="true">IF(B115="","",IF(OR(C115="",D115="",E115&lt;&gt;"Ha",F115&lt;&gt;"Ha"),"Rekvizit to‘liq emas",IF(G115="","OK",IF(G115&lt;TODAY(),"Muddati o‘tgan",IF(G115-TODAY()&lt;=30,"30 kun ichida tugaydi","OK")))))</f>
        <v/>
      </c>
      <c r="J115" s="5"/>
    </row>
    <row r="116" customFormat="false" ht="15" hidden="false" customHeight="false" outlineLevel="0" collapsed="false">
      <c r="A116" s="5"/>
      <c r="B116" s="5"/>
      <c r="C116" s="5"/>
      <c r="D116" s="6"/>
      <c r="E116" s="5"/>
      <c r="F116" s="5"/>
      <c r="G116" s="6"/>
      <c r="H116" s="5"/>
      <c r="I116" s="4" t="str">
        <f aca="true">IF(B116="","",IF(OR(C116="",D116="",E116&lt;&gt;"Ha",F116&lt;&gt;"Ha"),"Rekvizit to‘liq emas",IF(G116="","OK",IF(G116&lt;TODAY(),"Muddati o‘tgan",IF(G116-TODAY()&lt;=30,"30 kun ichida tugaydi","OK")))))</f>
        <v/>
      </c>
      <c r="J116" s="5"/>
    </row>
    <row r="117" customFormat="false" ht="15" hidden="false" customHeight="false" outlineLevel="0" collapsed="false">
      <c r="A117" s="5"/>
      <c r="B117" s="5"/>
      <c r="C117" s="5"/>
      <c r="D117" s="6"/>
      <c r="E117" s="5"/>
      <c r="F117" s="5"/>
      <c r="G117" s="6"/>
      <c r="H117" s="5"/>
      <c r="I117" s="4" t="str">
        <f aca="true">IF(B117="","",IF(OR(C117="",D117="",E117&lt;&gt;"Ha",F117&lt;&gt;"Ha"),"Rekvizit to‘liq emas",IF(G117="","OK",IF(G117&lt;TODAY(),"Muddati o‘tgan",IF(G117-TODAY()&lt;=30,"30 kun ichida tugaydi","OK")))))</f>
        <v/>
      </c>
      <c r="J117" s="5"/>
    </row>
    <row r="118" customFormat="false" ht="15" hidden="false" customHeight="false" outlineLevel="0" collapsed="false">
      <c r="A118" s="5"/>
      <c r="B118" s="5"/>
      <c r="C118" s="5"/>
      <c r="D118" s="6"/>
      <c r="E118" s="5"/>
      <c r="F118" s="5"/>
      <c r="G118" s="6"/>
      <c r="H118" s="5"/>
      <c r="I118" s="4" t="str">
        <f aca="true">IF(B118="","",IF(OR(C118="",D118="",E118&lt;&gt;"Ha",F118&lt;&gt;"Ha"),"Rekvizit to‘liq emas",IF(G118="","OK",IF(G118&lt;TODAY(),"Muddati o‘tgan",IF(G118-TODAY()&lt;=30,"30 kun ichida tugaydi","OK")))))</f>
        <v/>
      </c>
      <c r="J118" s="5"/>
    </row>
    <row r="119" customFormat="false" ht="15" hidden="false" customHeight="false" outlineLevel="0" collapsed="false">
      <c r="A119" s="5"/>
      <c r="B119" s="5"/>
      <c r="C119" s="5"/>
      <c r="D119" s="6"/>
      <c r="E119" s="5"/>
      <c r="F119" s="5"/>
      <c r="G119" s="6"/>
      <c r="H119" s="5"/>
      <c r="I119" s="4" t="str">
        <f aca="true">IF(B119="","",IF(OR(C119="",D119="",E119&lt;&gt;"Ha",F119&lt;&gt;"Ha"),"Rekvizit to‘liq emas",IF(G119="","OK",IF(G119&lt;TODAY(),"Muddati o‘tgan",IF(G119-TODAY()&lt;=30,"30 kun ichida tugaydi","OK")))))</f>
        <v/>
      </c>
      <c r="J119" s="5"/>
    </row>
    <row r="120" customFormat="false" ht="15" hidden="false" customHeight="false" outlineLevel="0" collapsed="false">
      <c r="A120" s="5"/>
      <c r="B120" s="5"/>
      <c r="C120" s="5"/>
      <c r="D120" s="6"/>
      <c r="E120" s="5"/>
      <c r="F120" s="5"/>
      <c r="G120" s="6"/>
      <c r="H120" s="5"/>
      <c r="I120" s="4" t="str">
        <f aca="true">IF(B120="","",IF(OR(C120="",D120="",E120&lt;&gt;"Ha",F120&lt;&gt;"Ha"),"Rekvizit to‘liq emas",IF(G120="","OK",IF(G120&lt;TODAY(),"Muddati o‘tgan",IF(G120-TODAY()&lt;=30,"30 kun ichida tugaydi","OK")))))</f>
        <v/>
      </c>
      <c r="J120" s="5"/>
    </row>
    <row r="121" customFormat="false" ht="15" hidden="false" customHeight="false" outlineLevel="0" collapsed="false">
      <c r="A121" s="5"/>
      <c r="B121" s="5"/>
      <c r="C121" s="5"/>
      <c r="D121" s="6"/>
      <c r="E121" s="5"/>
      <c r="F121" s="5"/>
      <c r="G121" s="6"/>
      <c r="H121" s="5"/>
      <c r="I121" s="4" t="str">
        <f aca="true">IF(B121="","",IF(OR(C121="",D121="",E121&lt;&gt;"Ha",F121&lt;&gt;"Ha"),"Rekvizit to‘liq emas",IF(G121="","OK",IF(G121&lt;TODAY(),"Muddati o‘tgan",IF(G121-TODAY()&lt;=30,"30 kun ichida tugaydi","OK")))))</f>
        <v/>
      </c>
      <c r="J121" s="5"/>
    </row>
    <row r="122" customFormat="false" ht="15" hidden="false" customHeight="false" outlineLevel="0" collapsed="false">
      <c r="A122" s="5"/>
      <c r="B122" s="5"/>
      <c r="C122" s="5"/>
      <c r="D122" s="6"/>
      <c r="E122" s="5"/>
      <c r="F122" s="5"/>
      <c r="G122" s="6"/>
      <c r="H122" s="5"/>
      <c r="I122" s="4" t="str">
        <f aca="true">IF(B122="","",IF(OR(C122="",D122="",E122&lt;&gt;"Ha",F122&lt;&gt;"Ha"),"Rekvizit to‘liq emas",IF(G122="","OK",IF(G122&lt;TODAY(),"Muddati o‘tgan",IF(G122-TODAY()&lt;=30,"30 kun ichida tugaydi","OK")))))</f>
        <v/>
      </c>
      <c r="J122" s="5"/>
    </row>
    <row r="123" customFormat="false" ht="15" hidden="false" customHeight="false" outlineLevel="0" collapsed="false">
      <c r="A123" s="5"/>
      <c r="B123" s="5"/>
      <c r="C123" s="5"/>
      <c r="D123" s="6"/>
      <c r="E123" s="5"/>
      <c r="F123" s="5"/>
      <c r="G123" s="6"/>
      <c r="H123" s="5"/>
      <c r="I123" s="4" t="str">
        <f aca="true">IF(B123="","",IF(OR(C123="",D123="",E123&lt;&gt;"Ha",F123&lt;&gt;"Ha"),"Rekvizit to‘liq emas",IF(G123="","OK",IF(G123&lt;TODAY(),"Muddati o‘tgan",IF(G123-TODAY()&lt;=30,"30 kun ichida tugaydi","OK")))))</f>
        <v/>
      </c>
      <c r="J123" s="5"/>
    </row>
    <row r="124" customFormat="false" ht="15" hidden="false" customHeight="false" outlineLevel="0" collapsed="false">
      <c r="A124" s="5"/>
      <c r="B124" s="5"/>
      <c r="C124" s="5"/>
      <c r="D124" s="6"/>
      <c r="E124" s="5"/>
      <c r="F124" s="5"/>
      <c r="G124" s="6"/>
      <c r="H124" s="5"/>
      <c r="I124" s="4" t="str">
        <f aca="true">IF(B124="","",IF(OR(C124="",D124="",E124&lt;&gt;"Ha",F124&lt;&gt;"Ha"),"Rekvizit to‘liq emas",IF(G124="","OK",IF(G124&lt;TODAY(),"Muddati o‘tgan",IF(G124-TODAY()&lt;=30,"30 kun ichida tugaydi","OK")))))</f>
        <v/>
      </c>
      <c r="J124" s="5"/>
    </row>
    <row r="125" customFormat="false" ht="15" hidden="false" customHeight="false" outlineLevel="0" collapsed="false">
      <c r="A125" s="5"/>
      <c r="B125" s="5"/>
      <c r="C125" s="5"/>
      <c r="D125" s="6"/>
      <c r="E125" s="5"/>
      <c r="F125" s="5"/>
      <c r="G125" s="6"/>
      <c r="H125" s="5"/>
      <c r="I125" s="4" t="str">
        <f aca="true">IF(B125="","",IF(OR(C125="",D125="",E125&lt;&gt;"Ha",F125&lt;&gt;"Ha"),"Rekvizit to‘liq emas",IF(G125="","OK",IF(G125&lt;TODAY(),"Muddati o‘tgan",IF(G125-TODAY()&lt;=30,"30 kun ichida tugaydi","OK")))))</f>
        <v/>
      </c>
      <c r="J125" s="5"/>
    </row>
    <row r="126" customFormat="false" ht="15" hidden="false" customHeight="false" outlineLevel="0" collapsed="false">
      <c r="A126" s="5"/>
      <c r="B126" s="5"/>
      <c r="C126" s="5"/>
      <c r="D126" s="6"/>
      <c r="E126" s="5"/>
      <c r="F126" s="5"/>
      <c r="G126" s="6"/>
      <c r="H126" s="5"/>
      <c r="I126" s="4" t="str">
        <f aca="true">IF(B126="","",IF(OR(C126="",D126="",E126&lt;&gt;"Ha",F126&lt;&gt;"Ha"),"Rekvizit to‘liq emas",IF(G126="","OK",IF(G126&lt;TODAY(),"Muddati o‘tgan",IF(G126-TODAY()&lt;=30,"30 kun ichida tugaydi","OK")))))</f>
        <v/>
      </c>
      <c r="J126" s="5"/>
    </row>
    <row r="127" customFormat="false" ht="15" hidden="false" customHeight="false" outlineLevel="0" collapsed="false">
      <c r="A127" s="5"/>
      <c r="B127" s="5"/>
      <c r="C127" s="5"/>
      <c r="D127" s="6"/>
      <c r="E127" s="5"/>
      <c r="F127" s="5"/>
      <c r="G127" s="6"/>
      <c r="H127" s="5"/>
      <c r="I127" s="4" t="str">
        <f aca="true">IF(B127="","",IF(OR(C127="",D127="",E127&lt;&gt;"Ha",F127&lt;&gt;"Ha"),"Rekvizit to‘liq emas",IF(G127="","OK",IF(G127&lt;TODAY(),"Muddati o‘tgan",IF(G127-TODAY()&lt;=30,"30 kun ichida tugaydi","OK")))))</f>
        <v/>
      </c>
      <c r="J127" s="5"/>
    </row>
    <row r="128" customFormat="false" ht="15" hidden="false" customHeight="false" outlineLevel="0" collapsed="false">
      <c r="A128" s="5"/>
      <c r="B128" s="5"/>
      <c r="C128" s="5"/>
      <c r="D128" s="6"/>
      <c r="E128" s="5"/>
      <c r="F128" s="5"/>
      <c r="G128" s="6"/>
      <c r="H128" s="5"/>
      <c r="I128" s="4" t="str">
        <f aca="true">IF(B128="","",IF(OR(C128="",D128="",E128&lt;&gt;"Ha",F128&lt;&gt;"Ha"),"Rekvizit to‘liq emas",IF(G128="","OK",IF(G128&lt;TODAY(),"Muddati o‘tgan",IF(G128-TODAY()&lt;=30,"30 kun ichida tugaydi","OK")))))</f>
        <v/>
      </c>
      <c r="J128" s="5"/>
    </row>
    <row r="129" customFormat="false" ht="15" hidden="false" customHeight="false" outlineLevel="0" collapsed="false">
      <c r="A129" s="5"/>
      <c r="B129" s="5"/>
      <c r="C129" s="5"/>
      <c r="D129" s="6"/>
      <c r="E129" s="5"/>
      <c r="F129" s="5"/>
      <c r="G129" s="6"/>
      <c r="H129" s="5"/>
      <c r="I129" s="4" t="str">
        <f aca="true">IF(B129="","",IF(OR(C129="",D129="",E129&lt;&gt;"Ha",F129&lt;&gt;"Ha"),"Rekvizit to‘liq emas",IF(G129="","OK",IF(G129&lt;TODAY(),"Muddati o‘tgan",IF(G129-TODAY()&lt;=30,"30 kun ichida tugaydi","OK")))))</f>
        <v/>
      </c>
      <c r="J129" s="5"/>
    </row>
    <row r="130" customFormat="false" ht="15" hidden="false" customHeight="false" outlineLevel="0" collapsed="false">
      <c r="A130" s="5"/>
      <c r="B130" s="5"/>
      <c r="C130" s="5"/>
      <c r="D130" s="6"/>
      <c r="E130" s="5"/>
      <c r="F130" s="5"/>
      <c r="G130" s="6"/>
      <c r="H130" s="5"/>
      <c r="I130" s="4" t="str">
        <f aca="true">IF(B130="","",IF(OR(C130="",D130="",E130&lt;&gt;"Ha",F130&lt;&gt;"Ha"),"Rekvizit to‘liq emas",IF(G130="","OK",IF(G130&lt;TODAY(),"Muddati o‘tgan",IF(G130-TODAY()&lt;=30,"30 kun ichida tugaydi","OK")))))</f>
        <v/>
      </c>
      <c r="J130" s="5"/>
    </row>
    <row r="131" customFormat="false" ht="15" hidden="false" customHeight="false" outlineLevel="0" collapsed="false">
      <c r="A131" s="5"/>
      <c r="B131" s="5"/>
      <c r="C131" s="5"/>
      <c r="D131" s="6"/>
      <c r="E131" s="5"/>
      <c r="F131" s="5"/>
      <c r="G131" s="6"/>
      <c r="H131" s="5"/>
      <c r="I131" s="4" t="str">
        <f aca="true">IF(B131="","",IF(OR(C131="",D131="",E131&lt;&gt;"Ha",F131&lt;&gt;"Ha"),"Rekvizit to‘liq emas",IF(G131="","OK",IF(G131&lt;TODAY(),"Muddati o‘tgan",IF(G131-TODAY()&lt;=30,"30 kun ichida tugaydi","OK")))))</f>
        <v/>
      </c>
      <c r="J131" s="5"/>
    </row>
    <row r="132" customFormat="false" ht="15" hidden="false" customHeight="false" outlineLevel="0" collapsed="false">
      <c r="A132" s="5"/>
      <c r="B132" s="5"/>
      <c r="C132" s="5"/>
      <c r="D132" s="6"/>
      <c r="E132" s="5"/>
      <c r="F132" s="5"/>
      <c r="G132" s="6"/>
      <c r="H132" s="5"/>
      <c r="I132" s="4" t="str">
        <f aca="true">IF(B132="","",IF(OR(C132="",D132="",E132&lt;&gt;"Ha",F132&lt;&gt;"Ha"),"Rekvizit to‘liq emas",IF(G132="","OK",IF(G132&lt;TODAY(),"Muddati o‘tgan",IF(G132-TODAY()&lt;=30,"30 kun ichida tugaydi","OK")))))</f>
        <v/>
      </c>
      <c r="J132" s="5"/>
    </row>
    <row r="133" customFormat="false" ht="15" hidden="false" customHeight="false" outlineLevel="0" collapsed="false">
      <c r="A133" s="5"/>
      <c r="B133" s="5"/>
      <c r="C133" s="5"/>
      <c r="D133" s="6"/>
      <c r="E133" s="5"/>
      <c r="F133" s="5"/>
      <c r="G133" s="6"/>
      <c r="H133" s="5"/>
      <c r="I133" s="4" t="str">
        <f aca="true">IF(B133="","",IF(OR(C133="",D133="",E133&lt;&gt;"Ha",F133&lt;&gt;"Ha"),"Rekvizit to‘liq emas",IF(G133="","OK",IF(G133&lt;TODAY(),"Muddati o‘tgan",IF(G133-TODAY()&lt;=30,"30 kun ichida tugaydi","OK")))))</f>
        <v/>
      </c>
      <c r="J133" s="5"/>
    </row>
    <row r="134" customFormat="false" ht="15" hidden="false" customHeight="false" outlineLevel="0" collapsed="false">
      <c r="A134" s="5"/>
      <c r="B134" s="5"/>
      <c r="C134" s="5"/>
      <c r="D134" s="6"/>
      <c r="E134" s="5"/>
      <c r="F134" s="5"/>
      <c r="G134" s="6"/>
      <c r="H134" s="5"/>
      <c r="I134" s="4" t="str">
        <f aca="true">IF(B134="","",IF(OR(C134="",D134="",E134&lt;&gt;"Ha",F134&lt;&gt;"Ha"),"Rekvizit to‘liq emas",IF(G134="","OK",IF(G134&lt;TODAY(),"Muddati o‘tgan",IF(G134-TODAY()&lt;=30,"30 kun ichida tugaydi","OK")))))</f>
        <v/>
      </c>
      <c r="J134" s="5"/>
    </row>
    <row r="135" customFormat="false" ht="15" hidden="false" customHeight="false" outlineLevel="0" collapsed="false">
      <c r="A135" s="5"/>
      <c r="B135" s="5"/>
      <c r="C135" s="5"/>
      <c r="D135" s="6"/>
      <c r="E135" s="5"/>
      <c r="F135" s="5"/>
      <c r="G135" s="6"/>
      <c r="H135" s="5"/>
      <c r="I135" s="4" t="str">
        <f aca="true">IF(B135="","",IF(OR(C135="",D135="",E135&lt;&gt;"Ha",F135&lt;&gt;"Ha"),"Rekvizit to‘liq emas",IF(G135="","OK",IF(G135&lt;TODAY(),"Muddati o‘tgan",IF(G135-TODAY()&lt;=30,"30 kun ichida tugaydi","OK")))))</f>
        <v/>
      </c>
      <c r="J135" s="5"/>
    </row>
    <row r="136" customFormat="false" ht="15" hidden="false" customHeight="false" outlineLevel="0" collapsed="false">
      <c r="A136" s="5"/>
      <c r="B136" s="5"/>
      <c r="C136" s="5"/>
      <c r="D136" s="6"/>
      <c r="E136" s="5"/>
      <c r="F136" s="5"/>
      <c r="G136" s="6"/>
      <c r="H136" s="5"/>
      <c r="I136" s="4" t="str">
        <f aca="true">IF(B136="","",IF(OR(C136="",D136="",E136&lt;&gt;"Ha",F136&lt;&gt;"Ha"),"Rekvizit to‘liq emas",IF(G136="","OK",IF(G136&lt;TODAY(),"Muddati o‘tgan",IF(G136-TODAY()&lt;=30,"30 kun ichida tugaydi","OK")))))</f>
        <v/>
      </c>
      <c r="J136" s="5"/>
    </row>
    <row r="137" customFormat="false" ht="15" hidden="false" customHeight="false" outlineLevel="0" collapsed="false">
      <c r="A137" s="5"/>
      <c r="B137" s="5"/>
      <c r="C137" s="5"/>
      <c r="D137" s="6"/>
      <c r="E137" s="5"/>
      <c r="F137" s="5"/>
      <c r="G137" s="6"/>
      <c r="H137" s="5"/>
      <c r="I137" s="4" t="str">
        <f aca="true">IF(B137="","",IF(OR(C137="",D137="",E137&lt;&gt;"Ha",F137&lt;&gt;"Ha"),"Rekvizit to‘liq emas",IF(G137="","OK",IF(G137&lt;TODAY(),"Muddati o‘tgan",IF(G137-TODAY()&lt;=30,"30 kun ichida tugaydi","OK")))))</f>
        <v/>
      </c>
      <c r="J137" s="5"/>
    </row>
    <row r="138" customFormat="false" ht="15" hidden="false" customHeight="false" outlineLevel="0" collapsed="false">
      <c r="A138" s="5"/>
      <c r="B138" s="5"/>
      <c r="C138" s="5"/>
      <c r="D138" s="6"/>
      <c r="E138" s="5"/>
      <c r="F138" s="5"/>
      <c r="G138" s="6"/>
      <c r="H138" s="5"/>
      <c r="I138" s="4" t="str">
        <f aca="true">IF(B138="","",IF(OR(C138="",D138="",E138&lt;&gt;"Ha",F138&lt;&gt;"Ha"),"Rekvizit to‘liq emas",IF(G138="","OK",IF(G138&lt;TODAY(),"Muddati o‘tgan",IF(G138-TODAY()&lt;=30,"30 kun ichida tugaydi","OK")))))</f>
        <v/>
      </c>
      <c r="J138" s="5"/>
    </row>
    <row r="139" customFormat="false" ht="15" hidden="false" customHeight="false" outlineLevel="0" collapsed="false">
      <c r="A139" s="5"/>
      <c r="B139" s="5"/>
      <c r="C139" s="5"/>
      <c r="D139" s="6"/>
      <c r="E139" s="5"/>
      <c r="F139" s="5"/>
      <c r="G139" s="6"/>
      <c r="H139" s="5"/>
      <c r="I139" s="4" t="str">
        <f aca="true">IF(B139="","",IF(OR(C139="",D139="",E139&lt;&gt;"Ha",F139&lt;&gt;"Ha"),"Rekvizit to‘liq emas",IF(G139="","OK",IF(G139&lt;TODAY(),"Muddati o‘tgan",IF(G139-TODAY()&lt;=30,"30 kun ichida tugaydi","OK")))))</f>
        <v/>
      </c>
      <c r="J139" s="5"/>
    </row>
    <row r="140" customFormat="false" ht="15" hidden="false" customHeight="false" outlineLevel="0" collapsed="false">
      <c r="A140" s="5"/>
      <c r="B140" s="5"/>
      <c r="C140" s="5"/>
      <c r="D140" s="6"/>
      <c r="E140" s="5"/>
      <c r="F140" s="5"/>
      <c r="G140" s="6"/>
      <c r="H140" s="5"/>
      <c r="I140" s="4" t="str">
        <f aca="true">IF(B140="","",IF(OR(C140="",D140="",E140&lt;&gt;"Ha",F140&lt;&gt;"Ha"),"Rekvizit to‘liq emas",IF(G140="","OK",IF(G140&lt;TODAY(),"Muddati o‘tgan",IF(G140-TODAY()&lt;=30,"30 kun ichida tugaydi","OK")))))</f>
        <v/>
      </c>
      <c r="J140" s="5"/>
    </row>
    <row r="141" customFormat="false" ht="15" hidden="false" customHeight="false" outlineLevel="0" collapsed="false">
      <c r="A141" s="5"/>
      <c r="B141" s="5"/>
      <c r="C141" s="5"/>
      <c r="D141" s="6"/>
      <c r="E141" s="5"/>
      <c r="F141" s="5"/>
      <c r="G141" s="6"/>
      <c r="H141" s="5"/>
      <c r="I141" s="4" t="str">
        <f aca="true">IF(B141="","",IF(OR(C141="",D141="",E141&lt;&gt;"Ha",F141&lt;&gt;"Ha"),"Rekvizit to‘liq emas",IF(G141="","OK",IF(G141&lt;TODAY(),"Muddati o‘tgan",IF(G141-TODAY()&lt;=30,"30 kun ichida tugaydi","OK")))))</f>
        <v/>
      </c>
      <c r="J141" s="5"/>
    </row>
    <row r="142" customFormat="false" ht="15" hidden="false" customHeight="false" outlineLevel="0" collapsed="false">
      <c r="A142" s="5"/>
      <c r="B142" s="5"/>
      <c r="C142" s="5"/>
      <c r="D142" s="6"/>
      <c r="E142" s="5"/>
      <c r="F142" s="5"/>
      <c r="G142" s="6"/>
      <c r="H142" s="5"/>
      <c r="I142" s="4" t="str">
        <f aca="true">IF(B142="","",IF(OR(C142="",D142="",E142&lt;&gt;"Ha",F142&lt;&gt;"Ha"),"Rekvizit to‘liq emas",IF(G142="","OK",IF(G142&lt;TODAY(),"Muddati o‘tgan",IF(G142-TODAY()&lt;=30,"30 kun ichida tugaydi","OK")))))</f>
        <v/>
      </c>
      <c r="J142" s="5"/>
    </row>
    <row r="143" customFormat="false" ht="15" hidden="false" customHeight="false" outlineLevel="0" collapsed="false">
      <c r="A143" s="5"/>
      <c r="B143" s="5"/>
      <c r="C143" s="5"/>
      <c r="D143" s="6"/>
      <c r="E143" s="5"/>
      <c r="F143" s="5"/>
      <c r="G143" s="6"/>
      <c r="H143" s="5"/>
      <c r="I143" s="4" t="str">
        <f aca="true">IF(B143="","",IF(OR(C143="",D143="",E143&lt;&gt;"Ha",F143&lt;&gt;"Ha"),"Rekvizit to‘liq emas",IF(G143="","OK",IF(G143&lt;TODAY(),"Muddati o‘tgan",IF(G143-TODAY()&lt;=30,"30 kun ichida tugaydi","OK")))))</f>
        <v/>
      </c>
      <c r="J143" s="5"/>
    </row>
    <row r="144" customFormat="false" ht="15" hidden="false" customHeight="false" outlineLevel="0" collapsed="false">
      <c r="A144" s="5"/>
      <c r="B144" s="5"/>
      <c r="C144" s="5"/>
      <c r="D144" s="6"/>
      <c r="E144" s="5"/>
      <c r="F144" s="5"/>
      <c r="G144" s="6"/>
      <c r="H144" s="5"/>
      <c r="I144" s="4" t="str">
        <f aca="true">IF(B144="","",IF(OR(C144="",D144="",E144&lt;&gt;"Ha",F144&lt;&gt;"Ha"),"Rekvizit to‘liq emas",IF(G144="","OK",IF(G144&lt;TODAY(),"Muddati o‘tgan",IF(G144-TODAY()&lt;=30,"30 kun ichida tugaydi","OK")))))</f>
        <v/>
      </c>
      <c r="J144" s="5"/>
    </row>
    <row r="145" customFormat="false" ht="15" hidden="false" customHeight="false" outlineLevel="0" collapsed="false">
      <c r="A145" s="5"/>
      <c r="B145" s="5"/>
      <c r="C145" s="5"/>
      <c r="D145" s="6"/>
      <c r="E145" s="5"/>
      <c r="F145" s="5"/>
      <c r="G145" s="6"/>
      <c r="H145" s="5"/>
      <c r="I145" s="4" t="str">
        <f aca="true">IF(B145="","",IF(OR(C145="",D145="",E145&lt;&gt;"Ha",F145&lt;&gt;"Ha"),"Rekvizit to‘liq emas",IF(G145="","OK",IF(G145&lt;TODAY(),"Muddati o‘tgan",IF(G145-TODAY()&lt;=30,"30 kun ichida tugaydi","OK")))))</f>
        <v/>
      </c>
      <c r="J145" s="5"/>
    </row>
    <row r="146" customFormat="false" ht="15" hidden="false" customHeight="false" outlineLevel="0" collapsed="false">
      <c r="A146" s="5"/>
      <c r="B146" s="5"/>
      <c r="C146" s="5"/>
      <c r="D146" s="6"/>
      <c r="E146" s="5"/>
      <c r="F146" s="5"/>
      <c r="G146" s="6"/>
      <c r="H146" s="5"/>
      <c r="I146" s="4" t="str">
        <f aca="true">IF(B146="","",IF(OR(C146="",D146="",E146&lt;&gt;"Ha",F146&lt;&gt;"Ha"),"Rekvizit to‘liq emas",IF(G146="","OK",IF(G146&lt;TODAY(),"Muddati o‘tgan",IF(G146-TODAY()&lt;=30,"30 kun ichida tugaydi","OK")))))</f>
        <v/>
      </c>
      <c r="J146" s="5"/>
    </row>
    <row r="147" customFormat="false" ht="15" hidden="false" customHeight="false" outlineLevel="0" collapsed="false">
      <c r="A147" s="5"/>
      <c r="B147" s="5"/>
      <c r="C147" s="5"/>
      <c r="D147" s="6"/>
      <c r="E147" s="5"/>
      <c r="F147" s="5"/>
      <c r="G147" s="6"/>
      <c r="H147" s="5"/>
      <c r="I147" s="4" t="str">
        <f aca="true">IF(B147="","",IF(OR(C147="",D147="",E147&lt;&gt;"Ha",F147&lt;&gt;"Ha"),"Rekvizit to‘liq emas",IF(G147="","OK",IF(G147&lt;TODAY(),"Muddati o‘tgan",IF(G147-TODAY()&lt;=30,"30 kun ichida tugaydi","OK")))))</f>
        <v/>
      </c>
      <c r="J147" s="5"/>
    </row>
    <row r="148" customFormat="false" ht="15" hidden="false" customHeight="false" outlineLevel="0" collapsed="false">
      <c r="A148" s="5"/>
      <c r="B148" s="5"/>
      <c r="C148" s="5"/>
      <c r="D148" s="6"/>
      <c r="E148" s="5"/>
      <c r="F148" s="5"/>
      <c r="G148" s="6"/>
      <c r="H148" s="5"/>
      <c r="I148" s="4" t="str">
        <f aca="true">IF(B148="","",IF(OR(C148="",D148="",E148&lt;&gt;"Ha",F148&lt;&gt;"Ha"),"Rekvizit to‘liq emas",IF(G148="","OK",IF(G148&lt;TODAY(),"Muddati o‘tgan",IF(G148-TODAY()&lt;=30,"30 kun ichida tugaydi","OK")))))</f>
        <v/>
      </c>
      <c r="J148" s="5"/>
    </row>
    <row r="149" customFormat="false" ht="15" hidden="false" customHeight="false" outlineLevel="0" collapsed="false">
      <c r="A149" s="5"/>
      <c r="B149" s="5"/>
      <c r="C149" s="5"/>
      <c r="D149" s="6"/>
      <c r="E149" s="5"/>
      <c r="F149" s="5"/>
      <c r="G149" s="6"/>
      <c r="H149" s="5"/>
      <c r="I149" s="4" t="str">
        <f aca="true">IF(B149="","",IF(OR(C149="",D149="",E149&lt;&gt;"Ha",F149&lt;&gt;"Ha"),"Rekvizit to‘liq emas",IF(G149="","OK",IF(G149&lt;TODAY(),"Muddati o‘tgan",IF(G149-TODAY()&lt;=30,"30 kun ichida tugaydi","OK")))))</f>
        <v/>
      </c>
      <c r="J149" s="5"/>
    </row>
    <row r="150" customFormat="false" ht="15" hidden="false" customHeight="false" outlineLevel="0" collapsed="false">
      <c r="A150" s="5"/>
      <c r="B150" s="5"/>
      <c r="C150" s="5"/>
      <c r="D150" s="6"/>
      <c r="E150" s="5"/>
      <c r="F150" s="5"/>
      <c r="G150" s="6"/>
      <c r="H150" s="5"/>
      <c r="I150" s="4" t="str">
        <f aca="true">IF(B150="","",IF(OR(C150="",D150="",E150&lt;&gt;"Ha",F150&lt;&gt;"Ha"),"Rekvizit to‘liq emas",IF(G150="","OK",IF(G150&lt;TODAY(),"Muddati o‘tgan",IF(G150-TODAY()&lt;=30,"30 kun ichida tugaydi","OK")))))</f>
        <v/>
      </c>
      <c r="J150" s="5"/>
    </row>
    <row r="151" customFormat="false" ht="15" hidden="false" customHeight="false" outlineLevel="0" collapsed="false">
      <c r="A151" s="5"/>
      <c r="B151" s="5"/>
      <c r="C151" s="5"/>
      <c r="D151" s="6"/>
      <c r="E151" s="5"/>
      <c r="F151" s="5"/>
      <c r="G151" s="6"/>
      <c r="H151" s="5"/>
      <c r="I151" s="4" t="str">
        <f aca="true">IF(B151="","",IF(OR(C151="",D151="",E151&lt;&gt;"Ha",F151&lt;&gt;"Ha"),"Rekvizit to‘liq emas",IF(G151="","OK",IF(G151&lt;TODAY(),"Muddati o‘tgan",IF(G151-TODAY()&lt;=30,"30 kun ichida tugaydi","OK")))))</f>
        <v/>
      </c>
      <c r="J151" s="5"/>
    </row>
    <row r="152" customFormat="false" ht="15" hidden="false" customHeight="false" outlineLevel="0" collapsed="false">
      <c r="A152" s="5"/>
      <c r="B152" s="5"/>
      <c r="C152" s="5"/>
      <c r="D152" s="6"/>
      <c r="E152" s="5"/>
      <c r="F152" s="5"/>
      <c r="G152" s="6"/>
      <c r="H152" s="5"/>
      <c r="I152" s="4" t="str">
        <f aca="true">IF(B152="","",IF(OR(C152="",D152="",E152&lt;&gt;"Ha",F152&lt;&gt;"Ha"),"Rekvizit to‘liq emas",IF(G152="","OK",IF(G152&lt;TODAY(),"Muddati o‘tgan",IF(G152-TODAY()&lt;=30,"30 kun ichida tugaydi","OK")))))</f>
        <v/>
      </c>
      <c r="J152" s="5"/>
    </row>
    <row r="153" customFormat="false" ht="15" hidden="false" customHeight="false" outlineLevel="0" collapsed="false">
      <c r="A153" s="5"/>
      <c r="B153" s="5"/>
      <c r="C153" s="5"/>
      <c r="D153" s="6"/>
      <c r="E153" s="5"/>
      <c r="F153" s="5"/>
      <c r="G153" s="6"/>
      <c r="H153" s="5"/>
      <c r="I153" s="4" t="str">
        <f aca="true">IF(B153="","",IF(OR(C153="",D153="",E153&lt;&gt;"Ha",F153&lt;&gt;"Ha"),"Rekvizit to‘liq emas",IF(G153="","OK",IF(G153&lt;TODAY(),"Muddati o‘tgan",IF(G153-TODAY()&lt;=30,"30 kun ichida tugaydi","OK")))))</f>
        <v/>
      </c>
      <c r="J153" s="5"/>
    </row>
    <row r="154" customFormat="false" ht="15" hidden="false" customHeight="false" outlineLevel="0" collapsed="false">
      <c r="A154" s="5"/>
      <c r="B154" s="5"/>
      <c r="C154" s="5"/>
      <c r="D154" s="6"/>
      <c r="E154" s="5"/>
      <c r="F154" s="5"/>
      <c r="G154" s="6"/>
      <c r="H154" s="5"/>
      <c r="I154" s="4" t="str">
        <f aca="true">IF(B154="","",IF(OR(C154="",D154="",E154&lt;&gt;"Ha",F154&lt;&gt;"Ha"),"Rekvizit to‘liq emas",IF(G154="","OK",IF(G154&lt;TODAY(),"Muddati o‘tgan",IF(G154-TODAY()&lt;=30,"30 kun ichida tugaydi","OK")))))</f>
        <v/>
      </c>
      <c r="J154" s="5"/>
    </row>
    <row r="155" customFormat="false" ht="15" hidden="false" customHeight="false" outlineLevel="0" collapsed="false">
      <c r="A155" s="5"/>
      <c r="B155" s="5"/>
      <c r="C155" s="5"/>
      <c r="D155" s="6"/>
      <c r="E155" s="5"/>
      <c r="F155" s="5"/>
      <c r="G155" s="6"/>
      <c r="H155" s="5"/>
      <c r="I155" s="4" t="str">
        <f aca="true">IF(B155="","",IF(OR(C155="",D155="",E155&lt;&gt;"Ha",F155&lt;&gt;"Ha"),"Rekvizit to‘liq emas",IF(G155="","OK",IF(G155&lt;TODAY(),"Muddati o‘tgan",IF(G155-TODAY()&lt;=30,"30 kun ichida tugaydi","OK")))))</f>
        <v/>
      </c>
      <c r="J155" s="5"/>
    </row>
    <row r="156" customFormat="false" ht="15" hidden="false" customHeight="false" outlineLevel="0" collapsed="false">
      <c r="A156" s="5"/>
      <c r="B156" s="5"/>
      <c r="C156" s="5"/>
      <c r="D156" s="6"/>
      <c r="E156" s="5"/>
      <c r="F156" s="5"/>
      <c r="G156" s="6"/>
      <c r="H156" s="5"/>
      <c r="I156" s="4" t="str">
        <f aca="true">IF(B156="","",IF(OR(C156="",D156="",E156&lt;&gt;"Ha",F156&lt;&gt;"Ha"),"Rekvizit to‘liq emas",IF(G156="","OK",IF(G156&lt;TODAY(),"Muddati o‘tgan",IF(G156-TODAY()&lt;=30,"30 kun ichida tugaydi","OK")))))</f>
        <v/>
      </c>
      <c r="J156" s="5"/>
    </row>
    <row r="157" customFormat="false" ht="15" hidden="false" customHeight="false" outlineLevel="0" collapsed="false">
      <c r="A157" s="5"/>
      <c r="B157" s="5"/>
      <c r="C157" s="5"/>
      <c r="D157" s="6"/>
      <c r="E157" s="5"/>
      <c r="F157" s="5"/>
      <c r="G157" s="6"/>
      <c r="H157" s="5"/>
      <c r="I157" s="4" t="str">
        <f aca="true">IF(B157="","",IF(OR(C157="",D157="",E157&lt;&gt;"Ha",F157&lt;&gt;"Ha"),"Rekvizit to‘liq emas",IF(G157="","OK",IF(G157&lt;TODAY(),"Muddati o‘tgan",IF(G157-TODAY()&lt;=30,"30 kun ichida tugaydi","OK")))))</f>
        <v/>
      </c>
      <c r="J157" s="5"/>
    </row>
    <row r="158" customFormat="false" ht="15" hidden="false" customHeight="false" outlineLevel="0" collapsed="false">
      <c r="A158" s="5"/>
      <c r="B158" s="5"/>
      <c r="C158" s="5"/>
      <c r="D158" s="6"/>
      <c r="E158" s="5"/>
      <c r="F158" s="5"/>
      <c r="G158" s="6"/>
      <c r="H158" s="5"/>
      <c r="I158" s="4" t="str">
        <f aca="true">IF(B158="","",IF(OR(C158="",D158="",E158&lt;&gt;"Ha",F158&lt;&gt;"Ha"),"Rekvizit to‘liq emas",IF(G158="","OK",IF(G158&lt;TODAY(),"Muddati o‘tgan",IF(G158-TODAY()&lt;=30,"30 kun ichida tugaydi","OK")))))</f>
        <v/>
      </c>
      <c r="J158" s="5"/>
    </row>
    <row r="159" customFormat="false" ht="15" hidden="false" customHeight="false" outlineLevel="0" collapsed="false">
      <c r="A159" s="5"/>
      <c r="B159" s="5"/>
      <c r="C159" s="5"/>
      <c r="D159" s="6"/>
      <c r="E159" s="5"/>
      <c r="F159" s="5"/>
      <c r="G159" s="6"/>
      <c r="H159" s="5"/>
      <c r="I159" s="4" t="str">
        <f aca="true">IF(B159="","",IF(OR(C159="",D159="",E159&lt;&gt;"Ha",F159&lt;&gt;"Ha"),"Rekvizit to‘liq emas",IF(G159="","OK",IF(G159&lt;TODAY(),"Muddati o‘tgan",IF(G159-TODAY()&lt;=30,"30 kun ichida tugaydi","OK")))))</f>
        <v/>
      </c>
      <c r="J159" s="5"/>
    </row>
    <row r="160" customFormat="false" ht="15" hidden="false" customHeight="false" outlineLevel="0" collapsed="false">
      <c r="A160" s="5"/>
      <c r="B160" s="5"/>
      <c r="C160" s="5"/>
      <c r="D160" s="6"/>
      <c r="E160" s="5"/>
      <c r="F160" s="5"/>
      <c r="G160" s="6"/>
      <c r="H160" s="5"/>
      <c r="I160" s="4" t="str">
        <f aca="true">IF(B160="","",IF(OR(C160="",D160="",E160&lt;&gt;"Ha",F160&lt;&gt;"Ha"),"Rekvizit to‘liq emas",IF(G160="","OK",IF(G160&lt;TODAY(),"Muddati o‘tgan",IF(G160-TODAY()&lt;=30,"30 kun ichida tugaydi","OK")))))</f>
        <v/>
      </c>
      <c r="J160" s="5"/>
    </row>
    <row r="161" customFormat="false" ht="15" hidden="false" customHeight="false" outlineLevel="0" collapsed="false">
      <c r="A161" s="5"/>
      <c r="B161" s="5"/>
      <c r="C161" s="5"/>
      <c r="D161" s="6"/>
      <c r="E161" s="5"/>
      <c r="F161" s="5"/>
      <c r="G161" s="6"/>
      <c r="H161" s="5"/>
      <c r="I161" s="4" t="str">
        <f aca="true">IF(B161="","",IF(OR(C161="",D161="",E161&lt;&gt;"Ha",F161&lt;&gt;"Ha"),"Rekvizit to‘liq emas",IF(G161="","OK",IF(G161&lt;TODAY(),"Muddati o‘tgan",IF(G161-TODAY()&lt;=30,"30 kun ichida tugaydi","OK")))))</f>
        <v/>
      </c>
      <c r="J161" s="5"/>
    </row>
    <row r="162" customFormat="false" ht="15" hidden="false" customHeight="false" outlineLevel="0" collapsed="false">
      <c r="A162" s="5"/>
      <c r="B162" s="5"/>
      <c r="C162" s="5"/>
      <c r="D162" s="6"/>
      <c r="E162" s="5"/>
      <c r="F162" s="5"/>
      <c r="G162" s="6"/>
      <c r="H162" s="5"/>
      <c r="I162" s="4" t="str">
        <f aca="true">IF(B162="","",IF(OR(C162="",D162="",E162&lt;&gt;"Ha",F162&lt;&gt;"Ha"),"Rekvizit to‘liq emas",IF(G162="","OK",IF(G162&lt;TODAY(),"Muddati o‘tgan",IF(G162-TODAY()&lt;=30,"30 kun ichida tugaydi","OK")))))</f>
        <v/>
      </c>
      <c r="J162" s="5"/>
    </row>
    <row r="163" customFormat="false" ht="15" hidden="false" customHeight="false" outlineLevel="0" collapsed="false">
      <c r="A163" s="5"/>
      <c r="B163" s="5"/>
      <c r="C163" s="5"/>
      <c r="D163" s="6"/>
      <c r="E163" s="5"/>
      <c r="F163" s="5"/>
      <c r="G163" s="6"/>
      <c r="H163" s="5"/>
      <c r="I163" s="4" t="str">
        <f aca="true">IF(B163="","",IF(OR(C163="",D163="",E163&lt;&gt;"Ha",F163&lt;&gt;"Ha"),"Rekvizit to‘liq emas",IF(G163="","OK",IF(G163&lt;TODAY(),"Muddati o‘tgan",IF(G163-TODAY()&lt;=30,"30 kun ichida tugaydi","OK")))))</f>
        <v/>
      </c>
      <c r="J163" s="5"/>
    </row>
    <row r="164" customFormat="false" ht="15" hidden="false" customHeight="false" outlineLevel="0" collapsed="false">
      <c r="A164" s="5"/>
      <c r="B164" s="5"/>
      <c r="C164" s="5"/>
      <c r="D164" s="6"/>
      <c r="E164" s="5"/>
      <c r="F164" s="5"/>
      <c r="G164" s="6"/>
      <c r="H164" s="5"/>
      <c r="I164" s="4" t="str">
        <f aca="true">IF(B164="","",IF(OR(C164="",D164="",E164&lt;&gt;"Ha",F164&lt;&gt;"Ha"),"Rekvizit to‘liq emas",IF(G164="","OK",IF(G164&lt;TODAY(),"Muddati o‘tgan",IF(G164-TODAY()&lt;=30,"30 kun ichida tugaydi","OK")))))</f>
        <v/>
      </c>
      <c r="J164" s="5"/>
    </row>
    <row r="165" customFormat="false" ht="15" hidden="false" customHeight="false" outlineLevel="0" collapsed="false">
      <c r="A165" s="5"/>
      <c r="B165" s="5"/>
      <c r="C165" s="5"/>
      <c r="D165" s="6"/>
      <c r="E165" s="5"/>
      <c r="F165" s="5"/>
      <c r="G165" s="6"/>
      <c r="H165" s="5"/>
      <c r="I165" s="4" t="str">
        <f aca="true">IF(B165="","",IF(OR(C165="",D165="",E165&lt;&gt;"Ha",F165&lt;&gt;"Ha"),"Rekvizit to‘liq emas",IF(G165="","OK",IF(G165&lt;TODAY(),"Muddati o‘tgan",IF(G165-TODAY()&lt;=30,"30 kun ichida tugaydi","OK")))))</f>
        <v/>
      </c>
      <c r="J165" s="5"/>
    </row>
    <row r="166" customFormat="false" ht="15" hidden="false" customHeight="false" outlineLevel="0" collapsed="false">
      <c r="A166" s="5"/>
      <c r="B166" s="5"/>
      <c r="C166" s="5"/>
      <c r="D166" s="6"/>
      <c r="E166" s="5"/>
      <c r="F166" s="5"/>
      <c r="G166" s="6"/>
      <c r="H166" s="5"/>
      <c r="I166" s="4" t="str">
        <f aca="true">IF(B166="","",IF(OR(C166="",D166="",E166&lt;&gt;"Ha",F166&lt;&gt;"Ha"),"Rekvizit to‘liq emas",IF(G166="","OK",IF(G166&lt;TODAY(),"Muddati o‘tgan",IF(G166-TODAY()&lt;=30,"30 kun ichida tugaydi","OK")))))</f>
        <v/>
      </c>
      <c r="J166" s="5"/>
    </row>
    <row r="167" customFormat="false" ht="15" hidden="false" customHeight="false" outlineLevel="0" collapsed="false">
      <c r="A167" s="5"/>
      <c r="B167" s="5"/>
      <c r="C167" s="5"/>
      <c r="D167" s="6"/>
      <c r="E167" s="5"/>
      <c r="F167" s="5"/>
      <c r="G167" s="6"/>
      <c r="H167" s="5"/>
      <c r="I167" s="4" t="str">
        <f aca="true">IF(B167="","",IF(OR(C167="",D167="",E167&lt;&gt;"Ha",F167&lt;&gt;"Ha"),"Rekvizit to‘liq emas",IF(G167="","OK",IF(G167&lt;TODAY(),"Muddati o‘tgan",IF(G167-TODAY()&lt;=30,"30 kun ichida tugaydi","OK")))))</f>
        <v/>
      </c>
      <c r="J167" s="5"/>
    </row>
    <row r="168" customFormat="false" ht="15" hidden="false" customHeight="false" outlineLevel="0" collapsed="false">
      <c r="A168" s="5"/>
      <c r="B168" s="5"/>
      <c r="C168" s="5"/>
      <c r="D168" s="6"/>
      <c r="E168" s="5"/>
      <c r="F168" s="5"/>
      <c r="G168" s="6"/>
      <c r="H168" s="5"/>
      <c r="I168" s="4" t="str">
        <f aca="true">IF(B168="","",IF(OR(C168="",D168="",E168&lt;&gt;"Ha",F168&lt;&gt;"Ha"),"Rekvizit to‘liq emas",IF(G168="","OK",IF(G168&lt;TODAY(),"Muddati o‘tgan",IF(G168-TODAY()&lt;=30,"30 kun ichida tugaydi","OK")))))</f>
        <v/>
      </c>
      <c r="J168" s="5"/>
    </row>
    <row r="169" customFormat="false" ht="15" hidden="false" customHeight="false" outlineLevel="0" collapsed="false">
      <c r="A169" s="5"/>
      <c r="B169" s="5"/>
      <c r="C169" s="5"/>
      <c r="D169" s="6"/>
      <c r="E169" s="5"/>
      <c r="F169" s="5"/>
      <c r="G169" s="6"/>
      <c r="H169" s="5"/>
      <c r="I169" s="4" t="str">
        <f aca="true">IF(B169="","",IF(OR(C169="",D169="",E169&lt;&gt;"Ha",F169&lt;&gt;"Ha"),"Rekvizit to‘liq emas",IF(G169="","OK",IF(G169&lt;TODAY(),"Muddati o‘tgan",IF(G169-TODAY()&lt;=30,"30 kun ichida tugaydi","OK")))))</f>
        <v/>
      </c>
      <c r="J169" s="5"/>
    </row>
    <row r="170" customFormat="false" ht="15" hidden="false" customHeight="false" outlineLevel="0" collapsed="false">
      <c r="A170" s="5"/>
      <c r="B170" s="5"/>
      <c r="C170" s="5"/>
      <c r="D170" s="6"/>
      <c r="E170" s="5"/>
      <c r="F170" s="5"/>
      <c r="G170" s="6"/>
      <c r="H170" s="5"/>
      <c r="I170" s="4" t="str">
        <f aca="true">IF(B170="","",IF(OR(C170="",D170="",E170&lt;&gt;"Ha",F170&lt;&gt;"Ha"),"Rekvizit to‘liq emas",IF(G170="","OK",IF(G170&lt;TODAY(),"Muddati o‘tgan",IF(G170-TODAY()&lt;=30,"30 kun ichida tugaydi","OK")))))</f>
        <v/>
      </c>
      <c r="J170" s="5"/>
    </row>
    <row r="171" customFormat="false" ht="15" hidden="false" customHeight="false" outlineLevel="0" collapsed="false">
      <c r="A171" s="5"/>
      <c r="B171" s="5"/>
      <c r="C171" s="5"/>
      <c r="D171" s="6"/>
      <c r="E171" s="5"/>
      <c r="F171" s="5"/>
      <c r="G171" s="6"/>
      <c r="H171" s="5"/>
      <c r="I171" s="4" t="str">
        <f aca="true">IF(B171="","",IF(OR(C171="",D171="",E171&lt;&gt;"Ha",F171&lt;&gt;"Ha"),"Rekvizit to‘liq emas",IF(G171="","OK",IF(G171&lt;TODAY(),"Muddati o‘tgan",IF(G171-TODAY()&lt;=30,"30 kun ichida tugaydi","OK")))))</f>
        <v/>
      </c>
      <c r="J171" s="5"/>
    </row>
    <row r="172" customFormat="false" ht="15" hidden="false" customHeight="false" outlineLevel="0" collapsed="false">
      <c r="A172" s="5"/>
      <c r="B172" s="5"/>
      <c r="C172" s="5"/>
      <c r="D172" s="6"/>
      <c r="E172" s="5"/>
      <c r="F172" s="5"/>
      <c r="G172" s="6"/>
      <c r="H172" s="5"/>
      <c r="I172" s="4" t="str">
        <f aca="true">IF(B172="","",IF(OR(C172="",D172="",E172&lt;&gt;"Ha",F172&lt;&gt;"Ha"),"Rekvizit to‘liq emas",IF(G172="","OK",IF(G172&lt;TODAY(),"Muddati o‘tgan",IF(G172-TODAY()&lt;=30,"30 kun ichida tugaydi","OK")))))</f>
        <v/>
      </c>
      <c r="J172" s="5"/>
    </row>
    <row r="173" customFormat="false" ht="15" hidden="false" customHeight="false" outlineLevel="0" collapsed="false">
      <c r="A173" s="5"/>
      <c r="B173" s="5"/>
      <c r="C173" s="5"/>
      <c r="D173" s="6"/>
      <c r="E173" s="5"/>
      <c r="F173" s="5"/>
      <c r="G173" s="6"/>
      <c r="H173" s="5"/>
      <c r="I173" s="4" t="str">
        <f aca="true">IF(B173="","",IF(OR(C173="",D173="",E173&lt;&gt;"Ha",F173&lt;&gt;"Ha"),"Rekvizit to‘liq emas",IF(G173="","OK",IF(G173&lt;TODAY(),"Muddati o‘tgan",IF(G173-TODAY()&lt;=30,"30 kun ichida tugaydi","OK")))))</f>
        <v/>
      </c>
      <c r="J173" s="5"/>
    </row>
    <row r="174" customFormat="false" ht="15" hidden="false" customHeight="false" outlineLevel="0" collapsed="false">
      <c r="A174" s="5"/>
      <c r="B174" s="5"/>
      <c r="C174" s="5"/>
      <c r="D174" s="6"/>
      <c r="E174" s="5"/>
      <c r="F174" s="5"/>
      <c r="G174" s="6"/>
      <c r="H174" s="5"/>
      <c r="I174" s="4" t="str">
        <f aca="true">IF(B174="","",IF(OR(C174="",D174="",E174&lt;&gt;"Ha",F174&lt;&gt;"Ha"),"Rekvizit to‘liq emas",IF(G174="","OK",IF(G174&lt;TODAY(),"Muddati o‘tgan",IF(G174-TODAY()&lt;=30,"30 kun ichida tugaydi","OK")))))</f>
        <v/>
      </c>
      <c r="J174" s="5"/>
    </row>
    <row r="175" customFormat="false" ht="15" hidden="false" customHeight="false" outlineLevel="0" collapsed="false">
      <c r="A175" s="5"/>
      <c r="B175" s="5"/>
      <c r="C175" s="5"/>
      <c r="D175" s="6"/>
      <c r="E175" s="5"/>
      <c r="F175" s="5"/>
      <c r="G175" s="6"/>
      <c r="H175" s="5"/>
      <c r="I175" s="4" t="str">
        <f aca="true">IF(B175="","",IF(OR(C175="",D175="",E175&lt;&gt;"Ha",F175&lt;&gt;"Ha"),"Rekvizit to‘liq emas",IF(G175="","OK",IF(G175&lt;TODAY(),"Muddati o‘tgan",IF(G175-TODAY()&lt;=30,"30 kun ichida tugaydi","OK")))))</f>
        <v/>
      </c>
      <c r="J175" s="5"/>
    </row>
    <row r="176" customFormat="false" ht="15" hidden="false" customHeight="false" outlineLevel="0" collapsed="false">
      <c r="A176" s="5"/>
      <c r="B176" s="5"/>
      <c r="C176" s="5"/>
      <c r="D176" s="6"/>
      <c r="E176" s="5"/>
      <c r="F176" s="5"/>
      <c r="G176" s="6"/>
      <c r="H176" s="5"/>
      <c r="I176" s="4" t="str">
        <f aca="true">IF(B176="","",IF(OR(C176="",D176="",E176&lt;&gt;"Ha",F176&lt;&gt;"Ha"),"Rekvizit to‘liq emas",IF(G176="","OK",IF(G176&lt;TODAY(),"Muddati o‘tgan",IF(G176-TODAY()&lt;=30,"30 kun ichida tugaydi","OK")))))</f>
        <v/>
      </c>
      <c r="J176" s="5"/>
    </row>
    <row r="177" customFormat="false" ht="15" hidden="false" customHeight="false" outlineLevel="0" collapsed="false">
      <c r="A177" s="5"/>
      <c r="B177" s="5"/>
      <c r="C177" s="5"/>
      <c r="D177" s="6"/>
      <c r="E177" s="5"/>
      <c r="F177" s="5"/>
      <c r="G177" s="6"/>
      <c r="H177" s="5"/>
      <c r="I177" s="4" t="str">
        <f aca="true">IF(B177="","",IF(OR(C177="",D177="",E177&lt;&gt;"Ha",F177&lt;&gt;"Ha"),"Rekvizit to‘liq emas",IF(G177="","OK",IF(G177&lt;TODAY(),"Muddati o‘tgan",IF(G177-TODAY()&lt;=30,"30 kun ichida tugaydi","OK")))))</f>
        <v/>
      </c>
      <c r="J177" s="5"/>
    </row>
    <row r="178" customFormat="false" ht="15" hidden="false" customHeight="false" outlineLevel="0" collapsed="false">
      <c r="A178" s="5"/>
      <c r="B178" s="5"/>
      <c r="C178" s="5"/>
      <c r="D178" s="6"/>
      <c r="E178" s="5"/>
      <c r="F178" s="5"/>
      <c r="G178" s="6"/>
      <c r="H178" s="5"/>
      <c r="I178" s="4" t="str">
        <f aca="true">IF(B178="","",IF(OR(C178="",D178="",E178&lt;&gt;"Ha",F178&lt;&gt;"Ha"),"Rekvizit to‘liq emas",IF(G178="","OK",IF(G178&lt;TODAY(),"Muddati o‘tgan",IF(G178-TODAY()&lt;=30,"30 kun ichida tugaydi","OK")))))</f>
        <v/>
      </c>
      <c r="J178" s="5"/>
    </row>
    <row r="179" customFormat="false" ht="15" hidden="false" customHeight="false" outlineLevel="0" collapsed="false">
      <c r="A179" s="5"/>
      <c r="B179" s="5"/>
      <c r="C179" s="5"/>
      <c r="D179" s="6"/>
      <c r="E179" s="5"/>
      <c r="F179" s="5"/>
      <c r="G179" s="6"/>
      <c r="H179" s="5"/>
      <c r="I179" s="4" t="str">
        <f aca="true">IF(B179="","",IF(OR(C179="",D179="",E179&lt;&gt;"Ha",F179&lt;&gt;"Ha"),"Rekvizit to‘liq emas",IF(G179="","OK",IF(G179&lt;TODAY(),"Muddati o‘tgan",IF(G179-TODAY()&lt;=30,"30 kun ichida tugaydi","OK")))))</f>
        <v/>
      </c>
      <c r="J179" s="5"/>
    </row>
    <row r="180" customFormat="false" ht="15" hidden="false" customHeight="false" outlineLevel="0" collapsed="false">
      <c r="A180" s="5"/>
      <c r="B180" s="5"/>
      <c r="C180" s="5"/>
      <c r="D180" s="6"/>
      <c r="E180" s="5"/>
      <c r="F180" s="5"/>
      <c r="G180" s="6"/>
      <c r="H180" s="5"/>
      <c r="I180" s="4" t="str">
        <f aca="true">IF(B180="","",IF(OR(C180="",D180="",E180&lt;&gt;"Ha",F180&lt;&gt;"Ha"),"Rekvizit to‘liq emas",IF(G180="","OK",IF(G180&lt;TODAY(),"Muddati o‘tgan",IF(G180-TODAY()&lt;=30,"30 kun ichida tugaydi","OK")))))</f>
        <v/>
      </c>
      <c r="J180" s="5"/>
    </row>
    <row r="181" customFormat="false" ht="15" hidden="false" customHeight="false" outlineLevel="0" collapsed="false">
      <c r="A181" s="5"/>
      <c r="B181" s="5"/>
      <c r="C181" s="5"/>
      <c r="D181" s="6"/>
      <c r="E181" s="5"/>
      <c r="F181" s="5"/>
      <c r="G181" s="6"/>
      <c r="H181" s="5"/>
      <c r="I181" s="4" t="str">
        <f aca="true">IF(B181="","",IF(OR(C181="",D181="",E181&lt;&gt;"Ha",F181&lt;&gt;"Ha"),"Rekvizit to‘liq emas",IF(G181="","OK",IF(G181&lt;TODAY(),"Muddati o‘tgan",IF(G181-TODAY()&lt;=30,"30 kun ichida tugaydi","OK")))))</f>
        <v/>
      </c>
      <c r="J181" s="5"/>
    </row>
    <row r="182" customFormat="false" ht="15" hidden="false" customHeight="false" outlineLevel="0" collapsed="false">
      <c r="A182" s="5"/>
      <c r="B182" s="5"/>
      <c r="C182" s="5"/>
      <c r="D182" s="6"/>
      <c r="E182" s="5"/>
      <c r="F182" s="5"/>
      <c r="G182" s="6"/>
      <c r="H182" s="5"/>
      <c r="I182" s="4" t="str">
        <f aca="true">IF(B182="","",IF(OR(C182="",D182="",E182&lt;&gt;"Ha",F182&lt;&gt;"Ha"),"Rekvizit to‘liq emas",IF(G182="","OK",IF(G182&lt;TODAY(),"Muddati o‘tgan",IF(G182-TODAY()&lt;=30,"30 kun ichida tugaydi","OK")))))</f>
        <v/>
      </c>
      <c r="J182" s="5"/>
    </row>
    <row r="183" customFormat="false" ht="15" hidden="false" customHeight="false" outlineLevel="0" collapsed="false">
      <c r="A183" s="5"/>
      <c r="B183" s="5"/>
      <c r="C183" s="5"/>
      <c r="D183" s="6"/>
      <c r="E183" s="5"/>
      <c r="F183" s="5"/>
      <c r="G183" s="6"/>
      <c r="H183" s="5"/>
      <c r="I183" s="4" t="str">
        <f aca="true">IF(B183="","",IF(OR(C183="",D183="",E183&lt;&gt;"Ha",F183&lt;&gt;"Ha"),"Rekvizit to‘liq emas",IF(G183="","OK",IF(G183&lt;TODAY(),"Muddati o‘tgan",IF(G183-TODAY()&lt;=30,"30 kun ichida tugaydi","OK")))))</f>
        <v/>
      </c>
      <c r="J183" s="5"/>
    </row>
    <row r="184" customFormat="false" ht="15" hidden="false" customHeight="false" outlineLevel="0" collapsed="false">
      <c r="A184" s="5"/>
      <c r="B184" s="5"/>
      <c r="C184" s="5"/>
      <c r="D184" s="6"/>
      <c r="E184" s="5"/>
      <c r="F184" s="5"/>
      <c r="G184" s="6"/>
      <c r="H184" s="5"/>
      <c r="I184" s="4" t="str">
        <f aca="true">IF(B184="","",IF(OR(C184="",D184="",E184&lt;&gt;"Ha",F184&lt;&gt;"Ha"),"Rekvizit to‘liq emas",IF(G184="","OK",IF(G184&lt;TODAY(),"Muddati o‘tgan",IF(G184-TODAY()&lt;=30,"30 kun ichida tugaydi","OK")))))</f>
        <v/>
      </c>
      <c r="J184" s="5"/>
    </row>
    <row r="185" customFormat="false" ht="15" hidden="false" customHeight="false" outlineLevel="0" collapsed="false">
      <c r="A185" s="5"/>
      <c r="B185" s="5"/>
      <c r="C185" s="5"/>
      <c r="D185" s="6"/>
      <c r="E185" s="5"/>
      <c r="F185" s="5"/>
      <c r="G185" s="6"/>
      <c r="H185" s="5"/>
      <c r="I185" s="4" t="str">
        <f aca="true">IF(B185="","",IF(OR(C185="",D185="",E185&lt;&gt;"Ha",F185&lt;&gt;"Ha"),"Rekvizit to‘liq emas",IF(G185="","OK",IF(G185&lt;TODAY(),"Muddati o‘tgan",IF(G185-TODAY()&lt;=30,"30 kun ichida tugaydi","OK")))))</f>
        <v/>
      </c>
      <c r="J185" s="5"/>
    </row>
    <row r="186" customFormat="false" ht="15" hidden="false" customHeight="false" outlineLevel="0" collapsed="false">
      <c r="A186" s="5"/>
      <c r="B186" s="5"/>
      <c r="C186" s="5"/>
      <c r="D186" s="6"/>
      <c r="E186" s="5"/>
      <c r="F186" s="5"/>
      <c r="G186" s="6"/>
      <c r="H186" s="5"/>
      <c r="I186" s="4" t="str">
        <f aca="true">IF(B186="","",IF(OR(C186="",D186="",E186&lt;&gt;"Ha",F186&lt;&gt;"Ha"),"Rekvizit to‘liq emas",IF(G186="","OK",IF(G186&lt;TODAY(),"Muddati o‘tgan",IF(G186-TODAY()&lt;=30,"30 kun ichida tugaydi","OK")))))</f>
        <v/>
      </c>
      <c r="J186" s="5"/>
    </row>
    <row r="187" customFormat="false" ht="15" hidden="false" customHeight="false" outlineLevel="0" collapsed="false">
      <c r="A187" s="5"/>
      <c r="B187" s="5"/>
      <c r="C187" s="5"/>
      <c r="D187" s="6"/>
      <c r="E187" s="5"/>
      <c r="F187" s="5"/>
      <c r="G187" s="6"/>
      <c r="H187" s="5"/>
      <c r="I187" s="4" t="str">
        <f aca="true">IF(B187="","",IF(OR(C187="",D187="",E187&lt;&gt;"Ha",F187&lt;&gt;"Ha"),"Rekvizit to‘liq emas",IF(G187="","OK",IF(G187&lt;TODAY(),"Muddati o‘tgan",IF(G187-TODAY()&lt;=30,"30 kun ichida tugaydi","OK")))))</f>
        <v/>
      </c>
      <c r="J187" s="5"/>
    </row>
    <row r="188" customFormat="false" ht="15" hidden="false" customHeight="false" outlineLevel="0" collapsed="false">
      <c r="A188" s="5"/>
      <c r="B188" s="5"/>
      <c r="C188" s="5"/>
      <c r="D188" s="6"/>
      <c r="E188" s="5"/>
      <c r="F188" s="5"/>
      <c r="G188" s="6"/>
      <c r="H188" s="5"/>
      <c r="I188" s="4" t="str">
        <f aca="true">IF(B188="","",IF(OR(C188="",D188="",E188&lt;&gt;"Ha",F188&lt;&gt;"Ha"),"Rekvizit to‘liq emas",IF(G188="","OK",IF(G188&lt;TODAY(),"Muddati o‘tgan",IF(G188-TODAY()&lt;=30,"30 kun ichida tugaydi","OK")))))</f>
        <v/>
      </c>
      <c r="J188" s="5"/>
    </row>
    <row r="189" customFormat="false" ht="15" hidden="false" customHeight="false" outlineLevel="0" collapsed="false">
      <c r="A189" s="5"/>
      <c r="B189" s="5"/>
      <c r="C189" s="5"/>
      <c r="D189" s="6"/>
      <c r="E189" s="5"/>
      <c r="F189" s="5"/>
      <c r="G189" s="6"/>
      <c r="H189" s="5"/>
      <c r="I189" s="4" t="str">
        <f aca="true">IF(B189="","",IF(OR(C189="",D189="",E189&lt;&gt;"Ha",F189&lt;&gt;"Ha"),"Rekvizit to‘liq emas",IF(G189="","OK",IF(G189&lt;TODAY(),"Muddati o‘tgan",IF(G189-TODAY()&lt;=30,"30 kun ichida tugaydi","OK")))))</f>
        <v/>
      </c>
      <c r="J189" s="5"/>
    </row>
    <row r="190" customFormat="false" ht="15" hidden="false" customHeight="false" outlineLevel="0" collapsed="false">
      <c r="A190" s="5"/>
      <c r="B190" s="5"/>
      <c r="C190" s="5"/>
      <c r="D190" s="6"/>
      <c r="E190" s="5"/>
      <c r="F190" s="5"/>
      <c r="G190" s="6"/>
      <c r="H190" s="5"/>
      <c r="I190" s="4" t="str">
        <f aca="true">IF(B190="","",IF(OR(C190="",D190="",E190&lt;&gt;"Ha",F190&lt;&gt;"Ha"),"Rekvizit to‘liq emas",IF(G190="","OK",IF(G190&lt;TODAY(),"Muddati o‘tgan",IF(G190-TODAY()&lt;=30,"30 kun ichida tugaydi","OK")))))</f>
        <v/>
      </c>
      <c r="J190" s="5"/>
    </row>
    <row r="191" customFormat="false" ht="15" hidden="false" customHeight="false" outlineLevel="0" collapsed="false">
      <c r="A191" s="5"/>
      <c r="B191" s="5"/>
      <c r="C191" s="5"/>
      <c r="D191" s="6"/>
      <c r="E191" s="5"/>
      <c r="F191" s="5"/>
      <c r="G191" s="6"/>
      <c r="H191" s="5"/>
      <c r="I191" s="4" t="str">
        <f aca="true">IF(B191="","",IF(OR(C191="",D191="",E191&lt;&gt;"Ha",F191&lt;&gt;"Ha"),"Rekvizit to‘liq emas",IF(G191="","OK",IF(G191&lt;TODAY(),"Muddati o‘tgan",IF(G191-TODAY()&lt;=30,"30 kun ichida tugaydi","OK")))))</f>
        <v/>
      </c>
      <c r="J191" s="5"/>
    </row>
    <row r="192" customFormat="false" ht="15" hidden="false" customHeight="false" outlineLevel="0" collapsed="false">
      <c r="A192" s="5"/>
      <c r="B192" s="5"/>
      <c r="C192" s="5"/>
      <c r="D192" s="6"/>
      <c r="E192" s="5"/>
      <c r="F192" s="5"/>
      <c r="G192" s="6"/>
      <c r="H192" s="5"/>
      <c r="I192" s="4" t="str">
        <f aca="true">IF(B192="","",IF(OR(C192="",D192="",E192&lt;&gt;"Ha",F192&lt;&gt;"Ha"),"Rekvizit to‘liq emas",IF(G192="","OK",IF(G192&lt;TODAY(),"Muddati o‘tgan",IF(G192-TODAY()&lt;=30,"30 kun ichida tugaydi","OK")))))</f>
        <v/>
      </c>
      <c r="J192" s="5"/>
    </row>
    <row r="193" customFormat="false" ht="15" hidden="false" customHeight="false" outlineLevel="0" collapsed="false">
      <c r="A193" s="5"/>
      <c r="B193" s="5"/>
      <c r="C193" s="5"/>
      <c r="D193" s="6"/>
      <c r="E193" s="5"/>
      <c r="F193" s="5"/>
      <c r="G193" s="6"/>
      <c r="H193" s="5"/>
      <c r="I193" s="4" t="str">
        <f aca="true">IF(B193="","",IF(OR(C193="",D193="",E193&lt;&gt;"Ha",F193&lt;&gt;"Ha"),"Rekvizit to‘liq emas",IF(G193="","OK",IF(G193&lt;TODAY(),"Muddati o‘tgan",IF(G193-TODAY()&lt;=30,"30 kun ichida tugaydi","OK")))))</f>
        <v/>
      </c>
      <c r="J193" s="5"/>
    </row>
    <row r="194" customFormat="false" ht="15" hidden="false" customHeight="false" outlineLevel="0" collapsed="false">
      <c r="A194" s="5"/>
      <c r="B194" s="5"/>
      <c r="C194" s="5"/>
      <c r="D194" s="6"/>
      <c r="E194" s="5"/>
      <c r="F194" s="5"/>
      <c r="G194" s="6"/>
      <c r="H194" s="5"/>
      <c r="I194" s="4" t="str">
        <f aca="true">IF(B194="","",IF(OR(C194="",D194="",E194&lt;&gt;"Ha",F194&lt;&gt;"Ha"),"Rekvizit to‘liq emas",IF(G194="","OK",IF(G194&lt;TODAY(),"Muddati o‘tgan",IF(G194-TODAY()&lt;=30,"30 kun ichida tugaydi","OK")))))</f>
        <v/>
      </c>
      <c r="J194" s="5"/>
    </row>
    <row r="195" customFormat="false" ht="15" hidden="false" customHeight="false" outlineLevel="0" collapsed="false">
      <c r="A195" s="5"/>
      <c r="B195" s="5"/>
      <c r="C195" s="5"/>
      <c r="D195" s="6"/>
      <c r="E195" s="5"/>
      <c r="F195" s="5"/>
      <c r="G195" s="6"/>
      <c r="H195" s="5"/>
      <c r="I195" s="4" t="str">
        <f aca="true">IF(B195="","",IF(OR(C195="",D195="",E195&lt;&gt;"Ha",F195&lt;&gt;"Ha"),"Rekvizit to‘liq emas",IF(G195="","OK",IF(G195&lt;TODAY(),"Muddati o‘tgan",IF(G195-TODAY()&lt;=30,"30 kun ichida tugaydi","OK")))))</f>
        <v/>
      </c>
      <c r="J195" s="5"/>
    </row>
    <row r="196" customFormat="false" ht="15" hidden="false" customHeight="false" outlineLevel="0" collapsed="false">
      <c r="A196" s="5"/>
      <c r="B196" s="5"/>
      <c r="C196" s="5"/>
      <c r="D196" s="6"/>
      <c r="E196" s="5"/>
      <c r="F196" s="5"/>
      <c r="G196" s="6"/>
      <c r="H196" s="5"/>
      <c r="I196" s="4" t="str">
        <f aca="true">IF(B196="","",IF(OR(C196="",D196="",E196&lt;&gt;"Ha",F196&lt;&gt;"Ha"),"Rekvizit to‘liq emas",IF(G196="","OK",IF(G196&lt;TODAY(),"Muddati o‘tgan",IF(G196-TODAY()&lt;=30,"30 kun ichida tugaydi","OK")))))</f>
        <v/>
      </c>
      <c r="J196" s="5"/>
    </row>
    <row r="197" customFormat="false" ht="15" hidden="false" customHeight="false" outlineLevel="0" collapsed="false">
      <c r="A197" s="5"/>
      <c r="B197" s="5"/>
      <c r="C197" s="5"/>
      <c r="D197" s="6"/>
      <c r="E197" s="5"/>
      <c r="F197" s="5"/>
      <c r="G197" s="6"/>
      <c r="H197" s="5"/>
      <c r="I197" s="4" t="str">
        <f aca="true">IF(B197="","",IF(OR(C197="",D197="",E197&lt;&gt;"Ha",F197&lt;&gt;"Ha"),"Rekvizit to‘liq emas",IF(G197="","OK",IF(G197&lt;TODAY(),"Muddati o‘tgan",IF(G197-TODAY()&lt;=30,"30 kun ichida tugaydi","OK")))))</f>
        <v/>
      </c>
      <c r="J197" s="5"/>
    </row>
    <row r="198" customFormat="false" ht="15" hidden="false" customHeight="false" outlineLevel="0" collapsed="false">
      <c r="A198" s="5"/>
      <c r="B198" s="5"/>
      <c r="C198" s="5"/>
      <c r="D198" s="6"/>
      <c r="E198" s="5"/>
      <c r="F198" s="5"/>
      <c r="G198" s="6"/>
      <c r="H198" s="5"/>
      <c r="I198" s="4" t="str">
        <f aca="true">IF(B198="","",IF(OR(C198="",D198="",E198&lt;&gt;"Ha",F198&lt;&gt;"Ha"),"Rekvizit to‘liq emas",IF(G198="","OK",IF(G198&lt;TODAY(),"Muddati o‘tgan",IF(G198-TODAY()&lt;=30,"30 kun ichida tugaydi","OK")))))</f>
        <v/>
      </c>
      <c r="J198" s="5"/>
    </row>
    <row r="199" customFormat="false" ht="15" hidden="false" customHeight="false" outlineLevel="0" collapsed="false">
      <c r="A199" s="5"/>
      <c r="B199" s="5"/>
      <c r="C199" s="5"/>
      <c r="D199" s="6"/>
      <c r="E199" s="5"/>
      <c r="F199" s="5"/>
      <c r="G199" s="6"/>
      <c r="H199" s="5"/>
      <c r="I199" s="4" t="str">
        <f aca="true">IF(B199="","",IF(OR(C199="",D199="",E199&lt;&gt;"Ha",F199&lt;&gt;"Ha"),"Rekvizit to‘liq emas",IF(G199="","OK",IF(G199&lt;TODAY(),"Muddati o‘tgan",IF(G199-TODAY()&lt;=30,"30 kun ichida tugaydi","OK")))))</f>
        <v/>
      </c>
      <c r="J199" s="5"/>
    </row>
    <row r="200" customFormat="false" ht="15" hidden="false" customHeight="false" outlineLevel="0" collapsed="false">
      <c r="A200" s="5"/>
      <c r="B200" s="5"/>
      <c r="C200" s="5"/>
      <c r="D200" s="6"/>
      <c r="E200" s="5"/>
      <c r="F200" s="5"/>
      <c r="G200" s="6"/>
      <c r="H200" s="5"/>
      <c r="I200" s="4" t="str">
        <f aca="true">IF(B200="","",IF(OR(C200="",D200="",E200&lt;&gt;"Ha",F200&lt;&gt;"Ha"),"Rekvizit to‘liq emas",IF(G200="","OK",IF(G200&lt;TODAY(),"Muddati o‘tgan",IF(G200-TODAY()&lt;=30,"30 kun ichida tugaydi","OK")))))</f>
        <v/>
      </c>
      <c r="J200" s="5"/>
    </row>
    <row r="201" customFormat="false" ht="15" hidden="false" customHeight="false" outlineLevel="0" collapsed="false">
      <c r="A201" s="5"/>
      <c r="B201" s="5"/>
      <c r="C201" s="5"/>
      <c r="D201" s="6"/>
      <c r="E201" s="5"/>
      <c r="F201" s="5"/>
      <c r="G201" s="6"/>
      <c r="H201" s="5"/>
      <c r="I201" s="4" t="str">
        <f aca="true">IF(B201="","",IF(OR(C201="",D201="",E201&lt;&gt;"Ha",F201&lt;&gt;"Ha"),"Rekvizit to‘liq emas",IF(G201="","OK",IF(G201&lt;TODAY(),"Muddati o‘tgan",IF(G201-TODAY()&lt;=30,"30 kun ichida tugaydi","OK")))))</f>
        <v/>
      </c>
      <c r="J201" s="5"/>
    </row>
    <row r="202" customFormat="false" ht="15" hidden="false" customHeight="false" outlineLevel="0" collapsed="false">
      <c r="A202" s="5"/>
      <c r="B202" s="5"/>
      <c r="C202" s="5"/>
      <c r="D202" s="6"/>
      <c r="E202" s="5"/>
      <c r="F202" s="5"/>
      <c r="G202" s="6"/>
      <c r="H202" s="5"/>
      <c r="I202" s="4" t="str">
        <f aca="true">IF(B202="","",IF(OR(C202="",D202="",E202&lt;&gt;"Ha",F202&lt;&gt;"Ha"),"Rekvizit to‘liq emas",IF(G202="","OK",IF(G202&lt;TODAY(),"Muddati o‘tgan",IF(G202-TODAY()&lt;=30,"30 kun ichida tugaydi","OK")))))</f>
        <v/>
      </c>
      <c r="J202" s="5"/>
    </row>
    <row r="203" customFormat="false" ht="15" hidden="false" customHeight="false" outlineLevel="0" collapsed="false">
      <c r="A203" s="5"/>
      <c r="B203" s="5"/>
      <c r="C203" s="5"/>
      <c r="D203" s="6"/>
      <c r="E203" s="5"/>
      <c r="F203" s="5"/>
      <c r="G203" s="6"/>
      <c r="H203" s="5"/>
      <c r="I203" s="4" t="str">
        <f aca="true">IF(B203="","",IF(OR(C203="",D203="",E203&lt;&gt;"Ha",F203&lt;&gt;"Ha"),"Rekvizit to‘liq emas",IF(G203="","OK",IF(G203&lt;TODAY(),"Muddati o‘tgan",IF(G203-TODAY()&lt;=30,"30 kun ichida tugaydi","OK")))))</f>
        <v/>
      </c>
      <c r="J203" s="5"/>
    </row>
    <row r="204" customFormat="false" ht="15" hidden="false" customHeight="false" outlineLevel="0" collapsed="false">
      <c r="A204" s="5"/>
      <c r="B204" s="5"/>
      <c r="C204" s="5"/>
      <c r="D204" s="6"/>
      <c r="E204" s="5"/>
      <c r="F204" s="5"/>
      <c r="G204" s="6"/>
      <c r="H204" s="5"/>
      <c r="I204" s="4" t="str">
        <f aca="true">IF(B204="","",IF(OR(C204="",D204="",E204&lt;&gt;"Ha",F204&lt;&gt;"Ha"),"Rekvizit to‘liq emas",IF(G204="","OK",IF(G204&lt;TODAY(),"Muddati o‘tgan",IF(G204-TODAY()&lt;=30,"30 kun ichida tugaydi","OK")))))</f>
        <v/>
      </c>
      <c r="J204" s="5"/>
    </row>
  </sheetData>
  <autoFilter ref="A4:J204"/>
  <mergeCells count="1">
    <mergeCell ref="A2:J2"/>
  </mergeCells>
  <conditionalFormatting sqref="I5:I204">
    <cfRule type="cellIs" priority="2" operator="equal" aboveAverage="0" equalAverage="0" bottom="0" percent="0" rank="0" text="" dxfId="4">
      <formula>"OK"</formula>
    </cfRule>
    <cfRule type="cellIs" priority="3" operator="equal" aboveAverage="0" equalAverage="0" bottom="0" percent="0" rank="0" text="" dxfId="5">
      <formula>"30 kun ichida tugaydi"</formula>
    </cfRule>
    <cfRule type="cellIs" priority="4" operator="equal" aboveAverage="0" equalAverage="0" bottom="0" percent="0" rank="0" text="" dxfId="6">
      <formula>"Muddati o‘tgan"</formula>
    </cfRule>
    <cfRule type="cellIs" priority="5" operator="equal" aboveAverage="0" equalAverage="0" bottom="0" percent="0" rank="0" text="" dxfId="6">
      <formula>"Rekvizit to‘liq emas"</formula>
    </cfRule>
  </conditionalFormatting>
  <dataValidations count="1">
    <dataValidation allowBlank="true" errorStyle="stop" operator="between" showDropDown="false" showErrorMessage="false" showInputMessage="false" sqref="E5:F204" type="list">
      <formula1>"Ha,Yo‘q"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111</v>
      </c>
    </row>
    <row r="2" customFormat="false" ht="42" hidden="false" customHeight="true" outlineLevel="0" collapsed="false">
      <c r="A2" s="12" t="s">
        <v>112</v>
      </c>
      <c r="B2" s="12"/>
      <c r="C2" s="12"/>
      <c r="D2" s="12"/>
      <c r="E2" s="12"/>
      <c r="F2" s="12"/>
    </row>
    <row r="4" customFormat="false" ht="26.85" hidden="false" customHeight="false" outlineLevel="0" collapsed="false">
      <c r="A4" s="3" t="s">
        <v>113</v>
      </c>
      <c r="B4" s="3" t="s">
        <v>114</v>
      </c>
      <c r="C4" s="3" t="s">
        <v>115</v>
      </c>
      <c r="D4" s="3" t="s">
        <v>116</v>
      </c>
      <c r="E4" s="3" t="s">
        <v>7</v>
      </c>
      <c r="F4" s="3" t="s">
        <v>117</v>
      </c>
    </row>
    <row r="5" customFormat="false" ht="15" hidden="false" customHeight="false" outlineLevel="0" collapsed="false">
      <c r="A5" s="4" t="s">
        <v>118</v>
      </c>
      <c r="B5" s="5"/>
      <c r="C5" s="5"/>
      <c r="D5" s="4" t="str">
        <f aca="false">IF(OR(B5="",C5=""),"",C5-B5)</f>
        <v/>
      </c>
      <c r="E5" s="4" t="str">
        <f aca="false">IF(D5="","To‘ldirilmagan",IF(D5=0,"Mos","Nomuvofiq!"))</f>
        <v>To‘ldirilmagan</v>
      </c>
      <c r="F5" s="5"/>
    </row>
    <row r="6" customFormat="false" ht="15" hidden="false" customHeight="false" outlineLevel="0" collapsed="false">
      <c r="A6" s="4" t="s">
        <v>119</v>
      </c>
      <c r="B6" s="5"/>
      <c r="C6" s="5"/>
      <c r="D6" s="4" t="str">
        <f aca="false">IF(OR(B6="",C6=""),"",C6-B6)</f>
        <v/>
      </c>
      <c r="E6" s="4" t="str">
        <f aca="false">IF(D6="","To‘ldirilmagan",IF(D6=0,"Mos","Nomuvofiq!"))</f>
        <v>To‘ldirilmagan</v>
      </c>
      <c r="F6" s="5"/>
    </row>
    <row r="7" customFormat="false" ht="15" hidden="false" customHeight="false" outlineLevel="0" collapsed="false">
      <c r="A7" s="4" t="s">
        <v>120</v>
      </c>
      <c r="B7" s="5"/>
      <c r="C7" s="5"/>
      <c r="D7" s="4" t="str">
        <f aca="false">IF(OR(B7="",C7=""),"",C7-B7)</f>
        <v/>
      </c>
      <c r="E7" s="4" t="str">
        <f aca="false">IF(D7="","To‘ldirilmagan",IF(D7=0,"Mos","Nomuvofiq!"))</f>
        <v>To‘ldirilmagan</v>
      </c>
      <c r="F7" s="5"/>
    </row>
    <row r="8" customFormat="false" ht="15" hidden="false" customHeight="false" outlineLevel="0" collapsed="false">
      <c r="A8" s="4" t="s">
        <v>121</v>
      </c>
      <c r="B8" s="5"/>
      <c r="C8" s="5"/>
      <c r="D8" s="4" t="str">
        <f aca="false">IF(OR(B8="",C8=""),"",C8-B8)</f>
        <v/>
      </c>
      <c r="E8" s="4" t="str">
        <f aca="false">IF(D8="","To‘ldirilmagan",IF(D8=0,"Mos","Nomuvofiq!"))</f>
        <v>To‘ldirilmagan</v>
      </c>
      <c r="F8" s="5"/>
    </row>
    <row r="9" customFormat="false" ht="15" hidden="false" customHeight="false" outlineLevel="0" collapsed="false">
      <c r="A9" s="4" t="s">
        <v>122</v>
      </c>
      <c r="B9" s="5"/>
      <c r="C9" s="5"/>
      <c r="D9" s="4" t="str">
        <f aca="false">IF(OR(B9="",C9=""),"",C9-B9)</f>
        <v/>
      </c>
      <c r="E9" s="4" t="str">
        <f aca="false">IF(D9="","To‘ldirilmagan",IF(D9=0,"Mos","Nomuvofiq!"))</f>
        <v>To‘ldirilmagan</v>
      </c>
      <c r="F9" s="5"/>
    </row>
    <row r="10" customFormat="false" ht="15" hidden="false" customHeight="false" outlineLevel="0" collapsed="false">
      <c r="A10" s="4" t="s">
        <v>123</v>
      </c>
      <c r="B10" s="5"/>
      <c r="C10" s="5"/>
      <c r="D10" s="4" t="str">
        <f aca="false">IF(OR(B10="",C10=""),"",C10-B10)</f>
        <v/>
      </c>
      <c r="E10" s="4" t="str">
        <f aca="false">IF(D10="","To‘ldirilmagan",IF(D10=0,"Mos","Nomuvofiq!"))</f>
        <v>To‘ldirilmagan</v>
      </c>
      <c r="F10" s="5"/>
    </row>
    <row r="11" customFormat="false" ht="15" hidden="false" customHeight="false" outlineLevel="0" collapsed="false">
      <c r="A11" s="4" t="s">
        <v>124</v>
      </c>
      <c r="B11" s="5"/>
      <c r="C11" s="5"/>
      <c r="D11" s="4" t="str">
        <f aca="false">IF(OR(B11="",C11=""),"",C11-B11)</f>
        <v/>
      </c>
      <c r="E11" s="4" t="str">
        <f aca="false">IF(D11="","To‘ldirilmagan",IF(D11=0,"Mos","Nomuvofiq!"))</f>
        <v>To‘ldirilmagan</v>
      </c>
      <c r="F11" s="5"/>
    </row>
    <row r="12" customFormat="false" ht="15" hidden="false" customHeight="false" outlineLevel="0" collapsed="false">
      <c r="A12" s="4" t="s">
        <v>125</v>
      </c>
      <c r="B12" s="5"/>
      <c r="C12" s="5"/>
      <c r="D12" s="4" t="str">
        <f aca="false">IF(OR(B12="",C12=""),"",C12-B12)</f>
        <v/>
      </c>
      <c r="E12" s="4" t="str">
        <f aca="false">IF(D12="","To‘ldirilmagan",IF(D12=0,"Mos","Nomuvofiq!"))</f>
        <v>To‘ldirilmagan</v>
      </c>
      <c r="F12" s="5"/>
    </row>
    <row r="13" customFormat="false" ht="15" hidden="false" customHeight="false" outlineLevel="0" collapsed="false">
      <c r="A13" s="4" t="s">
        <v>126</v>
      </c>
      <c r="B13" s="5"/>
      <c r="C13" s="5"/>
      <c r="D13" s="4" t="str">
        <f aca="false">IF(OR(B13="",C13=""),"",C13-B13)</f>
        <v/>
      </c>
      <c r="E13" s="4" t="str">
        <f aca="false">IF(D13="","To‘ldirilmagan",IF(D13=0,"Mos","Nomuvofiq!"))</f>
        <v>To‘ldirilmagan</v>
      </c>
      <c r="F13" s="5"/>
    </row>
    <row r="14" customFormat="false" ht="15" hidden="false" customHeight="false" outlineLevel="0" collapsed="false">
      <c r="A14" s="4" t="s">
        <v>127</v>
      </c>
      <c r="B14" s="5"/>
      <c r="C14" s="5"/>
      <c r="D14" s="4" t="str">
        <f aca="false">IF(OR(B14="",C14=""),"",C14-B14)</f>
        <v/>
      </c>
      <c r="E14" s="4" t="str">
        <f aca="false">IF(D14="","To‘ldirilmagan",IF(D14=0,"Mos","Nomuvofiq!"))</f>
        <v>To‘ldirilmagan</v>
      </c>
      <c r="F14" s="5"/>
    </row>
    <row r="15" customFormat="false" ht="15" hidden="false" customHeight="false" outlineLevel="0" collapsed="false">
      <c r="A15" s="4" t="s">
        <v>128</v>
      </c>
      <c r="B15" s="5"/>
      <c r="C15" s="5"/>
      <c r="D15" s="4" t="str">
        <f aca="false">IF(OR(B15="",C15=""),"",C15-B15)</f>
        <v/>
      </c>
      <c r="E15" s="4" t="str">
        <f aca="false">IF(D15="","To‘ldirilmagan",IF(D15=0,"Mos","Nomuvofiq!"))</f>
        <v>To‘ldirilmagan</v>
      </c>
      <c r="F15" s="5"/>
    </row>
    <row r="16" customFormat="false" ht="15" hidden="false" customHeight="false" outlineLevel="0" collapsed="false">
      <c r="A16" s="4" t="s">
        <v>129</v>
      </c>
      <c r="B16" s="5"/>
      <c r="C16" s="5"/>
      <c r="D16" s="4" t="str">
        <f aca="false">IF(OR(B16="",C16=""),"",C16-B16)</f>
        <v/>
      </c>
      <c r="E16" s="4" t="str">
        <f aca="false">IF(D16="","To‘ldirilmagan",IF(D16=0,"Mos","Nomuvofiq!"))</f>
        <v>To‘ldirilmagan</v>
      </c>
      <c r="F16" s="5"/>
    </row>
    <row r="17" customFormat="false" ht="15" hidden="false" customHeight="false" outlineLevel="0" collapsed="false">
      <c r="A17" s="4" t="s">
        <v>130</v>
      </c>
      <c r="B17" s="5"/>
      <c r="C17" s="5"/>
      <c r="D17" s="4" t="str">
        <f aca="false">IF(OR(B17="",C17=""),"",C17-B17)</f>
        <v/>
      </c>
      <c r="E17" s="4" t="str">
        <f aca="false">IF(D17="","To‘ldirilmagan",IF(D17=0,"Mos","Nomuvofiq!"))</f>
        <v>To‘ldirilmagan</v>
      </c>
      <c r="F17" s="5"/>
    </row>
    <row r="18" customFormat="false" ht="15" hidden="false" customHeight="false" outlineLevel="0" collapsed="false">
      <c r="A18" s="4" t="s">
        <v>131</v>
      </c>
      <c r="B18" s="5"/>
      <c r="C18" s="5"/>
      <c r="D18" s="4" t="str">
        <f aca="false">IF(OR(B18="",C18=""),"",C18-B18)</f>
        <v/>
      </c>
      <c r="E18" s="4" t="str">
        <f aca="false">IF(D18="","To‘ldirilmagan",IF(D18=0,"Mos","Nomuvofiq!"))</f>
        <v>To‘ldirilmagan</v>
      </c>
      <c r="F18" s="5"/>
    </row>
    <row r="20" customFormat="false" ht="15" hidden="false" customHeight="false" outlineLevel="0" collapsed="false">
      <c r="A20" s="13" t="s">
        <v>132</v>
      </c>
    </row>
    <row r="21" customFormat="false" ht="26.85" hidden="false" customHeight="false" outlineLevel="0" collapsed="false">
      <c r="A21" s="3" t="s">
        <v>113</v>
      </c>
      <c r="B21" s="3" t="s">
        <v>114</v>
      </c>
      <c r="C21" s="3" t="s">
        <v>115</v>
      </c>
      <c r="D21" s="3" t="s">
        <v>133</v>
      </c>
      <c r="E21" s="3" t="s">
        <v>134</v>
      </c>
      <c r="F21" s="3" t="s">
        <v>135</v>
      </c>
    </row>
    <row r="22" customFormat="false" ht="15" hidden="false" customHeight="false" outlineLevel="0" collapsed="false">
      <c r="A22" s="4" t="s">
        <v>136</v>
      </c>
      <c r="B22" s="14" t="str">
        <f aca="false">IFERROR(B6/B5,"")</f>
        <v/>
      </c>
      <c r="C22" s="14" t="str">
        <f aca="false">IFERROR(C6/C5,"")</f>
        <v/>
      </c>
      <c r="D22" s="15"/>
      <c r="E22" s="4" t="str">
        <f aca="false">IF(OR(B22="",D22=""),"",IF(B22&gt;=D22,"Me’yorda","Me’yordan past"))</f>
        <v/>
      </c>
      <c r="F22" s="4" t="s">
        <v>137</v>
      </c>
    </row>
    <row r="23" customFormat="false" ht="35.05" hidden="false" customHeight="false" outlineLevel="0" collapsed="false">
      <c r="A23" s="4" t="s">
        <v>138</v>
      </c>
      <c r="B23" s="14" t="str">
        <f aca="false">IFERROR((B10+B11)/B5,"")</f>
        <v/>
      </c>
      <c r="C23" s="14" t="str">
        <f aca="false">IFERROR((C10+C11)/C5,"")</f>
        <v/>
      </c>
      <c r="D23" s="15"/>
      <c r="E23" s="4" t="str">
        <f aca="false">IF(OR(B23="",D23=""),"",IF(B23&gt;=D23,"Me’yorda","Me’yordan past"))</f>
        <v/>
      </c>
      <c r="F23" s="4" t="s">
        <v>139</v>
      </c>
    </row>
    <row r="24" customFormat="false" ht="15" hidden="false" customHeight="false" outlineLevel="0" collapsed="false">
      <c r="A24" s="4" t="s">
        <v>140</v>
      </c>
      <c r="B24" s="16" t="str">
        <f aca="false">IFERROR((B14+B15+B16)/B5,"")</f>
        <v/>
      </c>
      <c r="C24" s="16" t="str">
        <f aca="false">IFERROR((C14+C15+C16)/C5,"")</f>
        <v/>
      </c>
      <c r="D24" s="17"/>
      <c r="E24" s="4" t="str">
        <f aca="false">IF(OR(B24="",D24=""),"",IF(B24&lt;=D24,"Me’yorda","Me’yordan yuqori"))</f>
        <v/>
      </c>
      <c r="F24" s="4" t="s">
        <v>141</v>
      </c>
    </row>
  </sheetData>
  <mergeCells count="1">
    <mergeCell ref="A2:F2"/>
  </mergeCells>
  <conditionalFormatting sqref="E5:E18">
    <cfRule type="cellIs" priority="2" operator="equal" aboveAverage="0" equalAverage="0" bottom="0" percent="0" rank="0" text="" dxfId="4">
      <formula>"Mos"</formula>
    </cfRule>
    <cfRule type="cellIs" priority="3" operator="equal" aboveAverage="0" equalAverage="0" bottom="0" percent="0" rank="0" text="" dxfId="6">
      <formula>"Nomuvofiq!"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9" min="4" style="0" width="13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142</v>
      </c>
    </row>
    <row r="2" customFormat="false" ht="30" hidden="false" customHeight="true" outlineLevel="0" collapsed="false">
      <c r="A2" s="12" t="s">
        <v>143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customFormat="false" ht="64.9" hidden="false" customHeight="false" outlineLevel="0" collapsed="false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3" t="s">
        <v>153</v>
      </c>
      <c r="K4" s="3" t="s">
        <v>154</v>
      </c>
      <c r="L4" s="3" t="s">
        <v>8</v>
      </c>
    </row>
    <row r="5" customFormat="false" ht="15" hidden="false" customHeight="false" outlineLevel="0" collapsed="false">
      <c r="A5" s="5" t="s">
        <v>155</v>
      </c>
      <c r="B5" s="5" t="s">
        <v>156</v>
      </c>
      <c r="C5" s="5" t="s">
        <v>157</v>
      </c>
      <c r="D5" s="5" t="s">
        <v>108</v>
      </c>
      <c r="E5" s="5" t="s">
        <v>108</v>
      </c>
      <c r="F5" s="5" t="s">
        <v>108</v>
      </c>
      <c r="G5" s="5" t="s">
        <v>158</v>
      </c>
      <c r="H5" s="5" t="s">
        <v>108</v>
      </c>
      <c r="I5" s="5" t="s">
        <v>108</v>
      </c>
      <c r="J5" s="18" t="n">
        <f aca="false">IF(A5="","",COUNTIF(D5:I5,"Ha")/6)</f>
        <v>0.833333333333333</v>
      </c>
      <c r="K5" s="5"/>
      <c r="L5" s="6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18" t="str">
        <f aca="false">IF(A6="","",COUNTIF(D6:I6,"Ha")/6)</f>
        <v/>
      </c>
      <c r="K6" s="5"/>
      <c r="L6" s="6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18" t="str">
        <f aca="false">IF(A7="","",COUNTIF(D7:I7,"Ha")/6)</f>
        <v/>
      </c>
      <c r="K7" s="5"/>
      <c r="L7" s="6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18" t="str">
        <f aca="false">IF(A8="","",COUNTIF(D8:I8,"Ha")/6)</f>
        <v/>
      </c>
      <c r="K8" s="5"/>
      <c r="L8" s="6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18" t="str">
        <f aca="false">IF(A9="","",COUNTIF(D9:I9,"Ha")/6)</f>
        <v/>
      </c>
      <c r="K9" s="5"/>
      <c r="L9" s="6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18" t="str">
        <f aca="false">IF(A10="","",COUNTIF(D10:I10,"Ha")/6)</f>
        <v/>
      </c>
      <c r="K10" s="5"/>
      <c r="L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18" t="str">
        <f aca="false">IF(A11="","",COUNTIF(D11:I11,"Ha")/6)</f>
        <v/>
      </c>
      <c r="K11" s="5"/>
      <c r="L11" s="6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18" t="str">
        <f aca="false">IF(A12="","",COUNTIF(D12:I12,"Ha")/6)</f>
        <v/>
      </c>
      <c r="K12" s="5"/>
      <c r="L12" s="6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18" t="str">
        <f aca="false">IF(A13="","",COUNTIF(D13:I13,"Ha")/6)</f>
        <v/>
      </c>
      <c r="K13" s="5"/>
      <c r="L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18" t="str">
        <f aca="false">IF(A14="","",COUNTIF(D14:I14,"Ha")/6)</f>
        <v/>
      </c>
      <c r="K14" s="5"/>
      <c r="L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18" t="str">
        <f aca="false">IF(A15="","",COUNTIF(D15:I15,"Ha")/6)</f>
        <v/>
      </c>
      <c r="K15" s="5"/>
      <c r="L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18" t="str">
        <f aca="false">IF(A16="","",COUNTIF(D16:I16,"Ha")/6)</f>
        <v/>
      </c>
      <c r="K16" s="5"/>
      <c r="L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18" t="str">
        <f aca="false">IF(A17="","",COUNTIF(D17:I17,"Ha")/6)</f>
        <v/>
      </c>
      <c r="K17" s="5"/>
      <c r="L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18" t="str">
        <f aca="false">IF(A18="","",COUNTIF(D18:I18,"Ha")/6)</f>
        <v/>
      </c>
      <c r="K18" s="5"/>
      <c r="L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18" t="str">
        <f aca="false">IF(A19="","",COUNTIF(D19:I19,"Ha")/6)</f>
        <v/>
      </c>
      <c r="K19" s="5"/>
      <c r="L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18" t="str">
        <f aca="false">IF(A20="","",COUNTIF(D20:I20,"Ha")/6)</f>
        <v/>
      </c>
      <c r="K20" s="5"/>
      <c r="L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18" t="str">
        <f aca="false">IF(A21="","",COUNTIF(D21:I21,"Ha")/6)</f>
        <v/>
      </c>
      <c r="K21" s="5"/>
      <c r="L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18" t="str">
        <f aca="false">IF(A22="","",COUNTIF(D22:I22,"Ha")/6)</f>
        <v/>
      </c>
      <c r="K22" s="5"/>
      <c r="L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18" t="str">
        <f aca="false">IF(A23="","",COUNTIF(D23:I23,"Ha")/6)</f>
        <v/>
      </c>
      <c r="K23" s="5"/>
      <c r="L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18" t="str">
        <f aca="false">IF(A24="","",COUNTIF(D24:I24,"Ha")/6)</f>
        <v/>
      </c>
      <c r="K24" s="5"/>
      <c r="L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18" t="str">
        <f aca="false">IF(A25="","",COUNTIF(D25:I25,"Ha")/6)</f>
        <v/>
      </c>
      <c r="K25" s="5"/>
      <c r="L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18" t="str">
        <f aca="false">IF(A26="","",COUNTIF(D26:I26,"Ha")/6)</f>
        <v/>
      </c>
      <c r="K26" s="5"/>
      <c r="L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18" t="str">
        <f aca="false">IF(A27="","",COUNTIF(D27:I27,"Ha")/6)</f>
        <v/>
      </c>
      <c r="K27" s="5"/>
      <c r="L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18" t="str">
        <f aca="false">IF(A28="","",COUNTIF(D28:I28,"Ha")/6)</f>
        <v/>
      </c>
      <c r="K28" s="5"/>
      <c r="L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18" t="str">
        <f aca="false">IF(A29="","",COUNTIF(D29:I29,"Ha")/6)</f>
        <v/>
      </c>
      <c r="K29" s="5"/>
      <c r="L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18" t="str">
        <f aca="false">IF(A30="","",COUNTIF(D30:I30,"Ha")/6)</f>
        <v/>
      </c>
      <c r="K30" s="5"/>
      <c r="L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18" t="str">
        <f aca="false">IF(A31="","",COUNTIF(D31:I31,"Ha")/6)</f>
        <v/>
      </c>
      <c r="K31" s="5"/>
      <c r="L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18" t="str">
        <f aca="false">IF(A32="","",COUNTIF(D32:I32,"Ha")/6)</f>
        <v/>
      </c>
      <c r="K32" s="5"/>
      <c r="L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18" t="str">
        <f aca="false">IF(A33="","",COUNTIF(D33:I33,"Ha")/6)</f>
        <v/>
      </c>
      <c r="K33" s="5"/>
      <c r="L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18" t="str">
        <f aca="false">IF(A34="","",COUNTIF(D34:I34,"Ha")/6)</f>
        <v/>
      </c>
      <c r="K34" s="5"/>
      <c r="L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18" t="str">
        <f aca="false">IF(A35="","",COUNTIF(D35:I35,"Ha")/6)</f>
        <v/>
      </c>
      <c r="K35" s="5"/>
      <c r="L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18" t="str">
        <f aca="false">IF(A36="","",COUNTIF(D36:I36,"Ha")/6)</f>
        <v/>
      </c>
      <c r="K36" s="5"/>
      <c r="L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18" t="str">
        <f aca="false">IF(A37="","",COUNTIF(D37:I37,"Ha")/6)</f>
        <v/>
      </c>
      <c r="K37" s="5"/>
      <c r="L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18" t="str">
        <f aca="false">IF(A38="","",COUNTIF(D38:I38,"Ha")/6)</f>
        <v/>
      </c>
      <c r="K38" s="5"/>
      <c r="L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18" t="str">
        <f aca="false">IF(A39="","",COUNTIF(D39:I39,"Ha")/6)</f>
        <v/>
      </c>
      <c r="K39" s="5"/>
      <c r="L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18" t="str">
        <f aca="false">IF(A40="","",COUNTIF(D40:I40,"Ha")/6)</f>
        <v/>
      </c>
      <c r="K40" s="5"/>
      <c r="L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18" t="str">
        <f aca="false">IF(A41="","",COUNTIF(D41:I41,"Ha")/6)</f>
        <v/>
      </c>
      <c r="K41" s="5"/>
      <c r="L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18" t="str">
        <f aca="false">IF(A42="","",COUNTIF(D42:I42,"Ha")/6)</f>
        <v/>
      </c>
      <c r="K42" s="5"/>
      <c r="L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18" t="str">
        <f aca="false">IF(A43="","",COUNTIF(D43:I43,"Ha")/6)</f>
        <v/>
      </c>
      <c r="K43" s="5"/>
      <c r="L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18" t="str">
        <f aca="false">IF(A44="","",COUNTIF(D44:I44,"Ha")/6)</f>
        <v/>
      </c>
      <c r="K44" s="5"/>
      <c r="L44" s="6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18" t="str">
        <f aca="false">IF(A45="","",COUNTIF(D45:I45,"Ha")/6)</f>
        <v/>
      </c>
      <c r="K45" s="5"/>
      <c r="L45" s="6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18" t="str">
        <f aca="false">IF(A46="","",COUNTIF(D46:I46,"Ha")/6)</f>
        <v/>
      </c>
      <c r="K46" s="5"/>
      <c r="L46" s="6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18" t="str">
        <f aca="false">IF(A47="","",COUNTIF(D47:I47,"Ha")/6)</f>
        <v/>
      </c>
      <c r="K47" s="5"/>
      <c r="L47" s="6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18" t="str">
        <f aca="false">IF(A48="","",COUNTIF(D48:I48,"Ha")/6)</f>
        <v/>
      </c>
      <c r="K48" s="5"/>
      <c r="L48" s="6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18" t="str">
        <f aca="false">IF(A49="","",COUNTIF(D49:I49,"Ha")/6)</f>
        <v/>
      </c>
      <c r="K49" s="5"/>
      <c r="L49" s="6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18" t="str">
        <f aca="false">IF(A50="","",COUNTIF(D50:I50,"Ha")/6)</f>
        <v/>
      </c>
      <c r="K50" s="5"/>
      <c r="L50" s="6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18" t="str">
        <f aca="false">IF(A51="","",COUNTIF(D51:I51,"Ha")/6)</f>
        <v/>
      </c>
      <c r="K51" s="5"/>
      <c r="L51" s="6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18" t="str">
        <f aca="false">IF(A52="","",COUNTIF(D52:I52,"Ha")/6)</f>
        <v/>
      </c>
      <c r="K52" s="5"/>
      <c r="L52" s="6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18" t="str">
        <f aca="false">IF(A53="","",COUNTIF(D53:I53,"Ha")/6)</f>
        <v/>
      </c>
      <c r="K53" s="5"/>
      <c r="L53" s="6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18" t="str">
        <f aca="false">IF(A54="","",COUNTIF(D54:I54,"Ha")/6)</f>
        <v/>
      </c>
      <c r="K54" s="5"/>
      <c r="L54" s="6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18" t="str">
        <f aca="false">IF(A55="","",COUNTIF(D55:I55,"Ha")/6)</f>
        <v/>
      </c>
      <c r="K55" s="5"/>
      <c r="L55" s="6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18" t="str">
        <f aca="false">IF(A56="","",COUNTIF(D56:I56,"Ha")/6)</f>
        <v/>
      </c>
      <c r="K56" s="5"/>
      <c r="L56" s="6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18" t="str">
        <f aca="false">IF(A57="","",COUNTIF(D57:I57,"Ha")/6)</f>
        <v/>
      </c>
      <c r="K57" s="5"/>
      <c r="L57" s="6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18" t="str">
        <f aca="false">IF(A58="","",COUNTIF(D58:I58,"Ha")/6)</f>
        <v/>
      </c>
      <c r="K58" s="5"/>
      <c r="L58" s="6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18" t="str">
        <f aca="false">IF(A59="","",COUNTIF(D59:I59,"Ha")/6)</f>
        <v/>
      </c>
      <c r="K59" s="5"/>
      <c r="L59" s="6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18" t="str">
        <f aca="false">IF(A60="","",COUNTIF(D60:I60,"Ha")/6)</f>
        <v/>
      </c>
      <c r="K60" s="5"/>
      <c r="L60" s="6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18" t="str">
        <f aca="false">IF(A61="","",COUNTIF(D61:I61,"Ha")/6)</f>
        <v/>
      </c>
      <c r="K61" s="5"/>
      <c r="L61" s="6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18" t="str">
        <f aca="false">IF(A62="","",COUNTIF(D62:I62,"Ha")/6)</f>
        <v/>
      </c>
      <c r="K62" s="5"/>
      <c r="L62" s="6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18" t="str">
        <f aca="false">IF(A63="","",COUNTIF(D63:I63,"Ha")/6)</f>
        <v/>
      </c>
      <c r="K63" s="5"/>
      <c r="L63" s="6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18" t="str">
        <f aca="false">IF(A64="","",COUNTIF(D64:I64,"Ha")/6)</f>
        <v/>
      </c>
      <c r="K64" s="5"/>
      <c r="L64" s="6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18" t="str">
        <f aca="false">IF(A65="","",COUNTIF(D65:I65,"Ha")/6)</f>
        <v/>
      </c>
      <c r="K65" s="5"/>
      <c r="L65" s="6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18" t="str">
        <f aca="false">IF(A66="","",COUNTIF(D66:I66,"Ha")/6)</f>
        <v/>
      </c>
      <c r="K66" s="5"/>
      <c r="L66" s="6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18" t="str">
        <f aca="false">IF(A67="","",COUNTIF(D67:I67,"Ha")/6)</f>
        <v/>
      </c>
      <c r="K67" s="5"/>
      <c r="L67" s="6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18" t="str">
        <f aca="false">IF(A68="","",COUNTIF(D68:I68,"Ha")/6)</f>
        <v/>
      </c>
      <c r="K68" s="5"/>
      <c r="L68" s="6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18" t="str">
        <f aca="false">IF(A69="","",COUNTIF(D69:I69,"Ha")/6)</f>
        <v/>
      </c>
      <c r="K69" s="5"/>
      <c r="L69" s="6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18" t="str">
        <f aca="false">IF(A70="","",COUNTIF(D70:I70,"Ha")/6)</f>
        <v/>
      </c>
      <c r="K70" s="5"/>
      <c r="L70" s="6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18" t="str">
        <f aca="false">IF(A71="","",COUNTIF(D71:I71,"Ha")/6)</f>
        <v/>
      </c>
      <c r="K71" s="5"/>
      <c r="L71" s="6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18" t="str">
        <f aca="false">IF(A72="","",COUNTIF(D72:I72,"Ha")/6)</f>
        <v/>
      </c>
      <c r="K72" s="5"/>
      <c r="L72" s="6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18" t="str">
        <f aca="false">IF(A73="","",COUNTIF(D73:I73,"Ha")/6)</f>
        <v/>
      </c>
      <c r="K73" s="5"/>
      <c r="L73" s="6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18" t="str">
        <f aca="false">IF(A74="","",COUNTIF(D74:I74,"Ha")/6)</f>
        <v/>
      </c>
      <c r="K74" s="5"/>
      <c r="L74" s="6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18" t="str">
        <f aca="false">IF(A75="","",COUNTIF(D75:I75,"Ha")/6)</f>
        <v/>
      </c>
      <c r="K75" s="5"/>
      <c r="L75" s="6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18" t="str">
        <f aca="false">IF(A76="","",COUNTIF(D76:I76,"Ha")/6)</f>
        <v/>
      </c>
      <c r="K76" s="5"/>
      <c r="L76" s="6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18" t="str">
        <f aca="false">IF(A77="","",COUNTIF(D77:I77,"Ha")/6)</f>
        <v/>
      </c>
      <c r="K77" s="5"/>
      <c r="L77" s="6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18" t="str">
        <f aca="false">IF(A78="","",COUNTIF(D78:I78,"Ha")/6)</f>
        <v/>
      </c>
      <c r="K78" s="5"/>
      <c r="L78" s="6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18" t="str">
        <f aca="false">IF(A79="","",COUNTIF(D79:I79,"Ha")/6)</f>
        <v/>
      </c>
      <c r="K79" s="5"/>
      <c r="L79" s="6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18" t="str">
        <f aca="false">IF(A80="","",COUNTIF(D80:I80,"Ha")/6)</f>
        <v/>
      </c>
      <c r="K80" s="5"/>
      <c r="L80" s="6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18" t="str">
        <f aca="false">IF(A81="","",COUNTIF(D81:I81,"Ha")/6)</f>
        <v/>
      </c>
      <c r="K81" s="5"/>
      <c r="L81" s="6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18" t="str">
        <f aca="false">IF(A82="","",COUNTIF(D82:I82,"Ha")/6)</f>
        <v/>
      </c>
      <c r="K82" s="5"/>
      <c r="L82" s="6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18" t="str">
        <f aca="false">IF(A83="","",COUNTIF(D83:I83,"Ha")/6)</f>
        <v/>
      </c>
      <c r="K83" s="5"/>
      <c r="L83" s="6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18" t="str">
        <f aca="false">IF(A84="","",COUNTIF(D84:I84,"Ha")/6)</f>
        <v/>
      </c>
      <c r="K84" s="5"/>
      <c r="L84" s="6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18" t="str">
        <f aca="false">IF(A85="","",COUNTIF(D85:I85,"Ha")/6)</f>
        <v/>
      </c>
      <c r="K85" s="5"/>
      <c r="L85" s="6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18" t="str">
        <f aca="false">IF(A86="","",COUNTIF(D86:I86,"Ha")/6)</f>
        <v/>
      </c>
      <c r="K86" s="5"/>
      <c r="L86" s="6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18" t="str">
        <f aca="false">IF(A87="","",COUNTIF(D87:I87,"Ha")/6)</f>
        <v/>
      </c>
      <c r="K87" s="5"/>
      <c r="L87" s="6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18" t="str">
        <f aca="false">IF(A88="","",COUNTIF(D88:I88,"Ha")/6)</f>
        <v/>
      </c>
      <c r="K88" s="5"/>
      <c r="L88" s="6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18" t="str">
        <f aca="false">IF(A89="","",COUNTIF(D89:I89,"Ha")/6)</f>
        <v/>
      </c>
      <c r="K89" s="5"/>
      <c r="L89" s="6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18" t="str">
        <f aca="false">IF(A90="","",COUNTIF(D90:I90,"Ha")/6)</f>
        <v/>
      </c>
      <c r="K90" s="5"/>
      <c r="L90" s="6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18" t="str">
        <f aca="false">IF(A91="","",COUNTIF(D91:I91,"Ha")/6)</f>
        <v/>
      </c>
      <c r="K91" s="5"/>
      <c r="L91" s="6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18" t="str">
        <f aca="false">IF(A92="","",COUNTIF(D92:I92,"Ha")/6)</f>
        <v/>
      </c>
      <c r="K92" s="5"/>
      <c r="L92" s="6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18" t="str">
        <f aca="false">IF(A93="","",COUNTIF(D93:I93,"Ha")/6)</f>
        <v/>
      </c>
      <c r="K93" s="5"/>
      <c r="L93" s="6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18" t="str">
        <f aca="false">IF(A94="","",COUNTIF(D94:I94,"Ha")/6)</f>
        <v/>
      </c>
      <c r="K94" s="5"/>
      <c r="L94" s="6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18" t="str">
        <f aca="false">IF(A95="","",COUNTIF(D95:I95,"Ha")/6)</f>
        <v/>
      </c>
      <c r="K95" s="5"/>
      <c r="L95" s="6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18" t="str">
        <f aca="false">IF(A96="","",COUNTIF(D96:I96,"Ha")/6)</f>
        <v/>
      </c>
      <c r="K96" s="5"/>
      <c r="L96" s="6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18" t="str">
        <f aca="false">IF(A97="","",COUNTIF(D97:I97,"Ha")/6)</f>
        <v/>
      </c>
      <c r="K97" s="5"/>
      <c r="L97" s="6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18" t="str">
        <f aca="false">IF(A98="","",COUNTIF(D98:I98,"Ha")/6)</f>
        <v/>
      </c>
      <c r="K98" s="5"/>
      <c r="L98" s="6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18" t="str">
        <f aca="false">IF(A99="","",COUNTIF(D99:I99,"Ha")/6)</f>
        <v/>
      </c>
      <c r="K99" s="5"/>
      <c r="L99" s="6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18" t="str">
        <f aca="false">IF(A100="","",COUNTIF(D100:I100,"Ha")/6)</f>
        <v/>
      </c>
      <c r="K100" s="5"/>
      <c r="L100" s="6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18" t="str">
        <f aca="false">IF(A101="","",COUNTIF(D101:I101,"Ha")/6)</f>
        <v/>
      </c>
      <c r="K101" s="5"/>
      <c r="L101" s="6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18" t="str">
        <f aca="false">IF(A102="","",COUNTIF(D102:I102,"Ha")/6)</f>
        <v/>
      </c>
      <c r="K102" s="5"/>
      <c r="L102" s="6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18" t="str">
        <f aca="false">IF(A103="","",COUNTIF(D103:I103,"Ha")/6)</f>
        <v/>
      </c>
      <c r="K103" s="5"/>
      <c r="L103" s="6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18" t="str">
        <f aca="false">IF(A104="","",COUNTIF(D104:I104,"Ha")/6)</f>
        <v/>
      </c>
      <c r="K104" s="5"/>
      <c r="L104" s="6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18" t="str">
        <f aca="false">IF(A105="","",COUNTIF(D105:I105,"Ha")/6)</f>
        <v/>
      </c>
      <c r="K105" s="5"/>
      <c r="L105" s="6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18" t="str">
        <f aca="false">IF(A106="","",COUNTIF(D106:I106,"Ha")/6)</f>
        <v/>
      </c>
      <c r="K106" s="5"/>
      <c r="L106" s="6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18" t="str">
        <f aca="false">IF(A107="","",COUNTIF(D107:I107,"Ha")/6)</f>
        <v/>
      </c>
      <c r="K107" s="5"/>
      <c r="L107" s="6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18" t="str">
        <f aca="false">IF(A108="","",COUNTIF(D108:I108,"Ha")/6)</f>
        <v/>
      </c>
      <c r="K108" s="5"/>
      <c r="L108" s="6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18" t="str">
        <f aca="false">IF(A109="","",COUNTIF(D109:I109,"Ha")/6)</f>
        <v/>
      </c>
      <c r="K109" s="5"/>
      <c r="L109" s="6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18" t="str">
        <f aca="false">IF(A110="","",COUNTIF(D110:I110,"Ha")/6)</f>
        <v/>
      </c>
      <c r="K110" s="5"/>
      <c r="L110" s="6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18" t="str">
        <f aca="false">IF(A111="","",COUNTIF(D111:I111,"Ha")/6)</f>
        <v/>
      </c>
      <c r="K111" s="5"/>
      <c r="L111" s="6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18" t="str">
        <f aca="false">IF(A112="","",COUNTIF(D112:I112,"Ha")/6)</f>
        <v/>
      </c>
      <c r="K112" s="5"/>
      <c r="L112" s="6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18" t="str">
        <f aca="false">IF(A113="","",COUNTIF(D113:I113,"Ha")/6)</f>
        <v/>
      </c>
      <c r="K113" s="5"/>
      <c r="L113" s="6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18" t="str">
        <f aca="false">IF(A114="","",COUNTIF(D114:I114,"Ha")/6)</f>
        <v/>
      </c>
      <c r="K114" s="5"/>
      <c r="L114" s="6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18" t="str">
        <f aca="false">IF(A115="","",COUNTIF(D115:I115,"Ha")/6)</f>
        <v/>
      </c>
      <c r="K115" s="5"/>
      <c r="L115" s="6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18" t="str">
        <f aca="false">IF(A116="","",COUNTIF(D116:I116,"Ha")/6)</f>
        <v/>
      </c>
      <c r="K116" s="5"/>
      <c r="L116" s="6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18" t="str">
        <f aca="false">IF(A117="","",COUNTIF(D117:I117,"Ha")/6)</f>
        <v/>
      </c>
      <c r="K117" s="5"/>
      <c r="L117" s="6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18" t="str">
        <f aca="false">IF(A118="","",COUNTIF(D118:I118,"Ha")/6)</f>
        <v/>
      </c>
      <c r="K118" s="5"/>
      <c r="L118" s="6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18" t="str">
        <f aca="false">IF(A119="","",COUNTIF(D119:I119,"Ha")/6)</f>
        <v/>
      </c>
      <c r="K119" s="5"/>
      <c r="L119" s="6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18" t="str">
        <f aca="false">IF(A120="","",COUNTIF(D120:I120,"Ha")/6)</f>
        <v/>
      </c>
      <c r="K120" s="5"/>
      <c r="L120" s="6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18" t="str">
        <f aca="false">IF(A121="","",COUNTIF(D121:I121,"Ha")/6)</f>
        <v/>
      </c>
      <c r="K121" s="5"/>
      <c r="L121" s="6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18" t="str">
        <f aca="false">IF(A122="","",COUNTIF(D122:I122,"Ha")/6)</f>
        <v/>
      </c>
      <c r="K122" s="5"/>
      <c r="L122" s="6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18" t="str">
        <f aca="false">IF(A123="","",COUNTIF(D123:I123,"Ha")/6)</f>
        <v/>
      </c>
      <c r="K123" s="5"/>
      <c r="L123" s="6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18" t="str">
        <f aca="false">IF(A124="","",COUNTIF(D124:I124,"Ha")/6)</f>
        <v/>
      </c>
      <c r="K124" s="5"/>
      <c r="L124" s="6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18" t="str">
        <f aca="false">IF(A125="","",COUNTIF(D125:I125,"Ha")/6)</f>
        <v/>
      </c>
      <c r="K125" s="5"/>
      <c r="L125" s="6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18" t="str">
        <f aca="false">IF(A126="","",COUNTIF(D126:I126,"Ha")/6)</f>
        <v/>
      </c>
      <c r="K126" s="5"/>
      <c r="L126" s="6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18" t="str">
        <f aca="false">IF(A127="","",COUNTIF(D127:I127,"Ha")/6)</f>
        <v/>
      </c>
      <c r="K127" s="5"/>
      <c r="L127" s="6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18" t="str">
        <f aca="false">IF(A128="","",COUNTIF(D128:I128,"Ha")/6)</f>
        <v/>
      </c>
      <c r="K128" s="5"/>
      <c r="L128" s="6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18" t="str">
        <f aca="false">IF(A129="","",COUNTIF(D129:I129,"Ha")/6)</f>
        <v/>
      </c>
      <c r="K129" s="5"/>
      <c r="L129" s="6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18" t="str">
        <f aca="false">IF(A130="","",COUNTIF(D130:I130,"Ha")/6)</f>
        <v/>
      </c>
      <c r="K130" s="5"/>
      <c r="L130" s="6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18" t="str">
        <f aca="false">IF(A131="","",COUNTIF(D131:I131,"Ha")/6)</f>
        <v/>
      </c>
      <c r="K131" s="5"/>
      <c r="L131" s="6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18" t="str">
        <f aca="false">IF(A132="","",COUNTIF(D132:I132,"Ha")/6)</f>
        <v/>
      </c>
      <c r="K132" s="5"/>
      <c r="L132" s="6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18" t="str">
        <f aca="false">IF(A133="","",COUNTIF(D133:I133,"Ha")/6)</f>
        <v/>
      </c>
      <c r="K133" s="5"/>
      <c r="L133" s="6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18" t="str">
        <f aca="false">IF(A134="","",COUNTIF(D134:I134,"Ha")/6)</f>
        <v/>
      </c>
      <c r="K134" s="5"/>
      <c r="L134" s="6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18" t="str">
        <f aca="false">IF(A135="","",COUNTIF(D135:I135,"Ha")/6)</f>
        <v/>
      </c>
      <c r="K135" s="5"/>
      <c r="L135" s="6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18" t="str">
        <f aca="false">IF(A136="","",COUNTIF(D136:I136,"Ha")/6)</f>
        <v/>
      </c>
      <c r="K136" s="5"/>
      <c r="L136" s="6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18" t="str">
        <f aca="false">IF(A137="","",COUNTIF(D137:I137,"Ha")/6)</f>
        <v/>
      </c>
      <c r="K137" s="5"/>
      <c r="L137" s="6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18" t="str">
        <f aca="false">IF(A138="","",COUNTIF(D138:I138,"Ha")/6)</f>
        <v/>
      </c>
      <c r="K138" s="5"/>
      <c r="L138" s="6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18" t="str">
        <f aca="false">IF(A139="","",COUNTIF(D139:I139,"Ha")/6)</f>
        <v/>
      </c>
      <c r="K139" s="5"/>
      <c r="L139" s="6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18" t="str">
        <f aca="false">IF(A140="","",COUNTIF(D140:I140,"Ha")/6)</f>
        <v/>
      </c>
      <c r="K140" s="5"/>
      <c r="L140" s="6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18" t="str">
        <f aca="false">IF(A141="","",COUNTIF(D141:I141,"Ha")/6)</f>
        <v/>
      </c>
      <c r="K141" s="5"/>
      <c r="L141" s="6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18" t="str">
        <f aca="false">IF(A142="","",COUNTIF(D142:I142,"Ha")/6)</f>
        <v/>
      </c>
      <c r="K142" s="5"/>
      <c r="L142" s="6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18" t="str">
        <f aca="false">IF(A143="","",COUNTIF(D143:I143,"Ha")/6)</f>
        <v/>
      </c>
      <c r="K143" s="5"/>
      <c r="L143" s="6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18" t="str">
        <f aca="false">IF(A144="","",COUNTIF(D144:I144,"Ha")/6)</f>
        <v/>
      </c>
      <c r="K144" s="5"/>
      <c r="L144" s="6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18" t="str">
        <f aca="false">IF(A145="","",COUNTIF(D145:I145,"Ha")/6)</f>
        <v/>
      </c>
      <c r="K145" s="5"/>
      <c r="L145" s="6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18" t="str">
        <f aca="false">IF(A146="","",COUNTIF(D146:I146,"Ha")/6)</f>
        <v/>
      </c>
      <c r="K146" s="5"/>
      <c r="L146" s="6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18" t="str">
        <f aca="false">IF(A147="","",COUNTIF(D147:I147,"Ha")/6)</f>
        <v/>
      </c>
      <c r="K147" s="5"/>
      <c r="L147" s="6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18" t="str">
        <f aca="false">IF(A148="","",COUNTIF(D148:I148,"Ha")/6)</f>
        <v/>
      </c>
      <c r="K148" s="5"/>
      <c r="L148" s="6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18" t="str">
        <f aca="false">IF(A149="","",COUNTIF(D149:I149,"Ha")/6)</f>
        <v/>
      </c>
      <c r="K149" s="5"/>
      <c r="L149" s="6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18" t="str">
        <f aca="false">IF(A150="","",COUNTIF(D150:I150,"Ha")/6)</f>
        <v/>
      </c>
      <c r="K150" s="5"/>
      <c r="L150" s="6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18" t="str">
        <f aca="false">IF(A151="","",COUNTIF(D151:I151,"Ha")/6)</f>
        <v/>
      </c>
      <c r="K151" s="5"/>
      <c r="L151" s="6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18" t="str">
        <f aca="false">IF(A152="","",COUNTIF(D152:I152,"Ha")/6)</f>
        <v/>
      </c>
      <c r="K152" s="5"/>
      <c r="L152" s="6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18" t="str">
        <f aca="false">IF(A153="","",COUNTIF(D153:I153,"Ha")/6)</f>
        <v/>
      </c>
      <c r="K153" s="5"/>
      <c r="L153" s="6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18" t="str">
        <f aca="false">IF(A154="","",COUNTIF(D154:I154,"Ha")/6)</f>
        <v/>
      </c>
      <c r="K154" s="5"/>
      <c r="L154" s="6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18" t="str">
        <f aca="false">IF(A155="","",COUNTIF(D155:I155,"Ha")/6)</f>
        <v/>
      </c>
      <c r="K155" s="5"/>
      <c r="L155" s="6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18" t="str">
        <f aca="false">IF(A156="","",COUNTIF(D156:I156,"Ha")/6)</f>
        <v/>
      </c>
      <c r="K156" s="5"/>
      <c r="L156" s="6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18" t="str">
        <f aca="false">IF(A157="","",COUNTIF(D157:I157,"Ha")/6)</f>
        <v/>
      </c>
      <c r="K157" s="5"/>
      <c r="L157" s="6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18" t="str">
        <f aca="false">IF(A158="","",COUNTIF(D158:I158,"Ha")/6)</f>
        <v/>
      </c>
      <c r="K158" s="5"/>
      <c r="L158" s="6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18" t="str">
        <f aca="false">IF(A159="","",COUNTIF(D159:I159,"Ha")/6)</f>
        <v/>
      </c>
      <c r="K159" s="5"/>
      <c r="L159" s="6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18" t="str">
        <f aca="false">IF(A160="","",COUNTIF(D160:I160,"Ha")/6)</f>
        <v/>
      </c>
      <c r="K160" s="5"/>
      <c r="L160" s="6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18" t="str">
        <f aca="false">IF(A161="","",COUNTIF(D161:I161,"Ha")/6)</f>
        <v/>
      </c>
      <c r="K161" s="5"/>
      <c r="L161" s="6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18" t="str">
        <f aca="false">IF(A162="","",COUNTIF(D162:I162,"Ha")/6)</f>
        <v/>
      </c>
      <c r="K162" s="5"/>
      <c r="L162" s="6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18" t="str">
        <f aca="false">IF(A163="","",COUNTIF(D163:I163,"Ha")/6)</f>
        <v/>
      </c>
      <c r="K163" s="5"/>
      <c r="L163" s="6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18" t="str">
        <f aca="false">IF(A164="","",COUNTIF(D164:I164,"Ha")/6)</f>
        <v/>
      </c>
      <c r="K164" s="5"/>
      <c r="L164" s="6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18" t="str">
        <f aca="false">IF(A165="","",COUNTIF(D165:I165,"Ha")/6)</f>
        <v/>
      </c>
      <c r="K165" s="5"/>
      <c r="L165" s="6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18" t="str">
        <f aca="false">IF(A166="","",COUNTIF(D166:I166,"Ha")/6)</f>
        <v/>
      </c>
      <c r="K166" s="5"/>
      <c r="L166" s="6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18" t="str">
        <f aca="false">IF(A167="","",COUNTIF(D167:I167,"Ha")/6)</f>
        <v/>
      </c>
      <c r="K167" s="5"/>
      <c r="L167" s="6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18" t="str">
        <f aca="false">IF(A168="","",COUNTIF(D168:I168,"Ha")/6)</f>
        <v/>
      </c>
      <c r="K168" s="5"/>
      <c r="L168" s="6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18" t="str">
        <f aca="false">IF(A169="","",COUNTIF(D169:I169,"Ha")/6)</f>
        <v/>
      </c>
      <c r="K169" s="5"/>
      <c r="L169" s="6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18" t="str">
        <f aca="false">IF(A170="","",COUNTIF(D170:I170,"Ha")/6)</f>
        <v/>
      </c>
      <c r="K170" s="5"/>
      <c r="L170" s="6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18" t="str">
        <f aca="false">IF(A171="","",COUNTIF(D171:I171,"Ha")/6)</f>
        <v/>
      </c>
      <c r="K171" s="5"/>
      <c r="L171" s="6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18" t="str">
        <f aca="false">IF(A172="","",COUNTIF(D172:I172,"Ha")/6)</f>
        <v/>
      </c>
      <c r="K172" s="5"/>
      <c r="L172" s="6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18" t="str">
        <f aca="false">IF(A173="","",COUNTIF(D173:I173,"Ha")/6)</f>
        <v/>
      </c>
      <c r="K173" s="5"/>
      <c r="L173" s="6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18" t="str">
        <f aca="false">IF(A174="","",COUNTIF(D174:I174,"Ha")/6)</f>
        <v/>
      </c>
      <c r="K174" s="5"/>
      <c r="L174" s="6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18" t="str">
        <f aca="false">IF(A175="","",COUNTIF(D175:I175,"Ha")/6)</f>
        <v/>
      </c>
      <c r="K175" s="5"/>
      <c r="L175" s="6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18" t="str">
        <f aca="false">IF(A176="","",COUNTIF(D176:I176,"Ha")/6)</f>
        <v/>
      </c>
      <c r="K176" s="5"/>
      <c r="L176" s="6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18" t="str">
        <f aca="false">IF(A177="","",COUNTIF(D177:I177,"Ha")/6)</f>
        <v/>
      </c>
      <c r="K177" s="5"/>
      <c r="L177" s="6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18" t="str">
        <f aca="false">IF(A178="","",COUNTIF(D178:I178,"Ha")/6)</f>
        <v/>
      </c>
      <c r="K178" s="5"/>
      <c r="L178" s="6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18" t="str">
        <f aca="false">IF(A179="","",COUNTIF(D179:I179,"Ha")/6)</f>
        <v/>
      </c>
      <c r="K179" s="5"/>
      <c r="L179" s="6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18" t="str">
        <f aca="false">IF(A180="","",COUNTIF(D180:I180,"Ha")/6)</f>
        <v/>
      </c>
      <c r="K180" s="5"/>
      <c r="L180" s="6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18" t="str">
        <f aca="false">IF(A181="","",COUNTIF(D181:I181,"Ha")/6)</f>
        <v/>
      </c>
      <c r="K181" s="5"/>
      <c r="L181" s="6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18" t="str">
        <f aca="false">IF(A182="","",COUNTIF(D182:I182,"Ha")/6)</f>
        <v/>
      </c>
      <c r="K182" s="5"/>
      <c r="L182" s="6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18" t="str">
        <f aca="false">IF(A183="","",COUNTIF(D183:I183,"Ha")/6)</f>
        <v/>
      </c>
      <c r="K183" s="5"/>
      <c r="L183" s="6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18" t="str">
        <f aca="false">IF(A184="","",COUNTIF(D184:I184,"Ha")/6)</f>
        <v/>
      </c>
      <c r="K184" s="5"/>
      <c r="L184" s="6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18" t="str">
        <f aca="false">IF(A185="","",COUNTIF(D185:I185,"Ha")/6)</f>
        <v/>
      </c>
      <c r="K185" s="5"/>
      <c r="L185" s="6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18" t="str">
        <f aca="false">IF(A186="","",COUNTIF(D186:I186,"Ha")/6)</f>
        <v/>
      </c>
      <c r="K186" s="5"/>
      <c r="L186" s="6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18" t="str">
        <f aca="false">IF(A187="","",COUNTIF(D187:I187,"Ha")/6)</f>
        <v/>
      </c>
      <c r="K187" s="5"/>
      <c r="L187" s="6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18" t="str">
        <f aca="false">IF(A188="","",COUNTIF(D188:I188,"Ha")/6)</f>
        <v/>
      </c>
      <c r="K188" s="5"/>
      <c r="L188" s="6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18" t="str">
        <f aca="false">IF(A189="","",COUNTIF(D189:I189,"Ha")/6)</f>
        <v/>
      </c>
      <c r="K189" s="5"/>
      <c r="L189" s="6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18" t="str">
        <f aca="false">IF(A190="","",COUNTIF(D190:I190,"Ha")/6)</f>
        <v/>
      </c>
      <c r="K190" s="5"/>
      <c r="L190" s="6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18" t="str">
        <f aca="false">IF(A191="","",COUNTIF(D191:I191,"Ha")/6)</f>
        <v/>
      </c>
      <c r="K191" s="5"/>
      <c r="L191" s="6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18" t="str">
        <f aca="false">IF(A192="","",COUNTIF(D192:I192,"Ha")/6)</f>
        <v/>
      </c>
      <c r="K192" s="5"/>
      <c r="L192" s="6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18" t="str">
        <f aca="false">IF(A193="","",COUNTIF(D193:I193,"Ha")/6)</f>
        <v/>
      </c>
      <c r="K193" s="5"/>
      <c r="L193" s="6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18" t="str">
        <f aca="false">IF(A194="","",COUNTIF(D194:I194,"Ha")/6)</f>
        <v/>
      </c>
      <c r="K194" s="5"/>
      <c r="L194" s="6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18" t="str">
        <f aca="false">IF(A195="","",COUNTIF(D195:I195,"Ha")/6)</f>
        <v/>
      </c>
      <c r="K195" s="5"/>
      <c r="L195" s="6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18" t="str">
        <f aca="false">IF(A196="","",COUNTIF(D196:I196,"Ha")/6)</f>
        <v/>
      </c>
      <c r="K196" s="5"/>
      <c r="L196" s="6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18" t="str">
        <f aca="false">IF(A197="","",COUNTIF(D197:I197,"Ha")/6)</f>
        <v/>
      </c>
      <c r="K197" s="5"/>
      <c r="L197" s="6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18" t="str">
        <f aca="false">IF(A198="","",COUNTIF(D198:I198,"Ha")/6)</f>
        <v/>
      </c>
      <c r="K198" s="5"/>
      <c r="L198" s="6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18" t="str">
        <f aca="false">IF(A199="","",COUNTIF(D199:I199,"Ha")/6)</f>
        <v/>
      </c>
      <c r="K199" s="5"/>
      <c r="L199" s="6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18" t="str">
        <f aca="false">IF(A200="","",COUNTIF(D200:I200,"Ha")/6)</f>
        <v/>
      </c>
      <c r="K200" s="5"/>
      <c r="L200" s="6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18" t="str">
        <f aca="false">IF(A201="","",COUNTIF(D201:I201,"Ha")/6)</f>
        <v/>
      </c>
      <c r="K201" s="5"/>
      <c r="L201" s="6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18" t="str">
        <f aca="false">IF(A202="","",COUNTIF(D202:I202,"Ha")/6)</f>
        <v/>
      </c>
      <c r="K202" s="5"/>
      <c r="L202" s="6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18" t="str">
        <f aca="false">IF(A203="","",COUNTIF(D203:I203,"Ha")/6)</f>
        <v/>
      </c>
      <c r="K203" s="5"/>
      <c r="L203" s="6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18" t="str">
        <f aca="false">IF(A204="","",COUNTIF(D204:I204,"Ha")/6)</f>
        <v/>
      </c>
      <c r="K204" s="5"/>
      <c r="L204" s="6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18" t="str">
        <f aca="false">IF(A205="","",COUNTIF(D205:I205,"Ha")/6)</f>
        <v/>
      </c>
      <c r="K205" s="5"/>
      <c r="L205" s="6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18" t="str">
        <f aca="false">IF(A206="","",COUNTIF(D206:I206,"Ha")/6)</f>
        <v/>
      </c>
      <c r="K206" s="5"/>
      <c r="L206" s="6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18" t="str">
        <f aca="false">IF(A207="","",COUNTIF(D207:I207,"Ha")/6)</f>
        <v/>
      </c>
      <c r="K207" s="5"/>
      <c r="L207" s="6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18" t="str">
        <f aca="false">IF(A208="","",COUNTIF(D208:I208,"Ha")/6)</f>
        <v/>
      </c>
      <c r="K208" s="5"/>
      <c r="L208" s="6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18" t="str">
        <f aca="false">IF(A209="","",COUNTIF(D209:I209,"Ha")/6)</f>
        <v/>
      </c>
      <c r="K209" s="5"/>
      <c r="L209" s="6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18" t="str">
        <f aca="false">IF(A210="","",COUNTIF(D210:I210,"Ha")/6)</f>
        <v/>
      </c>
      <c r="K210" s="5"/>
      <c r="L210" s="6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18" t="str">
        <f aca="false">IF(A211="","",COUNTIF(D211:I211,"Ha")/6)</f>
        <v/>
      </c>
      <c r="K211" s="5"/>
      <c r="L211" s="6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18" t="str">
        <f aca="false">IF(A212="","",COUNTIF(D212:I212,"Ha")/6)</f>
        <v/>
      </c>
      <c r="K212" s="5"/>
      <c r="L212" s="6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18" t="str">
        <f aca="false">IF(A213="","",COUNTIF(D213:I213,"Ha")/6)</f>
        <v/>
      </c>
      <c r="K213" s="5"/>
      <c r="L213" s="6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18" t="str">
        <f aca="false">IF(A214="","",COUNTIF(D214:I214,"Ha")/6)</f>
        <v/>
      </c>
      <c r="K214" s="5"/>
      <c r="L214" s="6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18" t="str">
        <f aca="false">IF(A215="","",COUNTIF(D215:I215,"Ha")/6)</f>
        <v/>
      </c>
      <c r="K215" s="5"/>
      <c r="L215" s="6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18" t="str">
        <f aca="false">IF(A216="","",COUNTIF(D216:I216,"Ha")/6)</f>
        <v/>
      </c>
      <c r="K216" s="5"/>
      <c r="L216" s="6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18" t="str">
        <f aca="false">IF(A217="","",COUNTIF(D217:I217,"Ha")/6)</f>
        <v/>
      </c>
      <c r="K217" s="5"/>
      <c r="L217" s="6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18" t="str">
        <f aca="false">IF(A218="","",COUNTIF(D218:I218,"Ha")/6)</f>
        <v/>
      </c>
      <c r="K218" s="5"/>
      <c r="L218" s="6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18" t="str">
        <f aca="false">IF(A219="","",COUNTIF(D219:I219,"Ha")/6)</f>
        <v/>
      </c>
      <c r="K219" s="5"/>
      <c r="L219" s="6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18" t="str">
        <f aca="false">IF(A220="","",COUNTIF(D220:I220,"Ha")/6)</f>
        <v/>
      </c>
      <c r="K220" s="5"/>
      <c r="L220" s="6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18" t="str">
        <f aca="false">IF(A221="","",COUNTIF(D221:I221,"Ha")/6)</f>
        <v/>
      </c>
      <c r="K221" s="5"/>
      <c r="L221" s="6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18" t="str">
        <f aca="false">IF(A222="","",COUNTIF(D222:I222,"Ha")/6)</f>
        <v/>
      </c>
      <c r="K222" s="5"/>
      <c r="L222" s="6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18" t="str">
        <f aca="false">IF(A223="","",COUNTIF(D223:I223,"Ha")/6)</f>
        <v/>
      </c>
      <c r="K223" s="5"/>
      <c r="L223" s="6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18" t="str">
        <f aca="false">IF(A224="","",COUNTIF(D224:I224,"Ha")/6)</f>
        <v/>
      </c>
      <c r="K224" s="5"/>
      <c r="L224" s="6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18" t="str">
        <f aca="false">IF(A225="","",COUNTIF(D225:I225,"Ha")/6)</f>
        <v/>
      </c>
      <c r="K225" s="5"/>
      <c r="L225" s="6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18" t="str">
        <f aca="false">IF(A226="","",COUNTIF(D226:I226,"Ha")/6)</f>
        <v/>
      </c>
      <c r="K226" s="5"/>
      <c r="L226" s="6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18" t="str">
        <f aca="false">IF(A227="","",COUNTIF(D227:I227,"Ha")/6)</f>
        <v/>
      </c>
      <c r="K227" s="5"/>
      <c r="L227" s="6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18" t="str">
        <f aca="false">IF(A228="","",COUNTIF(D228:I228,"Ha")/6)</f>
        <v/>
      </c>
      <c r="K228" s="5"/>
      <c r="L228" s="6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18" t="str">
        <f aca="false">IF(A229="","",COUNTIF(D229:I229,"Ha")/6)</f>
        <v/>
      </c>
      <c r="K229" s="5"/>
      <c r="L229" s="6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18" t="str">
        <f aca="false">IF(A230="","",COUNTIF(D230:I230,"Ha")/6)</f>
        <v/>
      </c>
      <c r="K230" s="5"/>
      <c r="L230" s="6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18" t="str">
        <f aca="false">IF(A231="","",COUNTIF(D231:I231,"Ha")/6)</f>
        <v/>
      </c>
      <c r="K231" s="5"/>
      <c r="L231" s="6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18" t="str">
        <f aca="false">IF(A232="","",COUNTIF(D232:I232,"Ha")/6)</f>
        <v/>
      </c>
      <c r="K232" s="5"/>
      <c r="L232" s="6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18" t="str">
        <f aca="false">IF(A233="","",COUNTIF(D233:I233,"Ha")/6)</f>
        <v/>
      </c>
      <c r="K233" s="5"/>
      <c r="L233" s="6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18" t="str">
        <f aca="false">IF(A234="","",COUNTIF(D234:I234,"Ha")/6)</f>
        <v/>
      </c>
      <c r="K234" s="5"/>
      <c r="L234" s="6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18" t="str">
        <f aca="false">IF(A235="","",COUNTIF(D235:I235,"Ha")/6)</f>
        <v/>
      </c>
      <c r="K235" s="5"/>
      <c r="L235" s="6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18" t="str">
        <f aca="false">IF(A236="","",COUNTIF(D236:I236,"Ha")/6)</f>
        <v/>
      </c>
      <c r="K236" s="5"/>
      <c r="L236" s="6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18" t="str">
        <f aca="false">IF(A237="","",COUNTIF(D237:I237,"Ha")/6)</f>
        <v/>
      </c>
      <c r="K237" s="5"/>
      <c r="L237" s="6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18" t="str">
        <f aca="false">IF(A238="","",COUNTIF(D238:I238,"Ha")/6)</f>
        <v/>
      </c>
      <c r="K238" s="5"/>
      <c r="L238" s="6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18" t="str">
        <f aca="false">IF(A239="","",COUNTIF(D239:I239,"Ha")/6)</f>
        <v/>
      </c>
      <c r="K239" s="5"/>
      <c r="L239" s="6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18" t="str">
        <f aca="false">IF(A240="","",COUNTIF(D240:I240,"Ha")/6)</f>
        <v/>
      </c>
      <c r="K240" s="5"/>
      <c r="L240" s="6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18" t="str">
        <f aca="false">IF(A241="","",COUNTIF(D241:I241,"Ha")/6)</f>
        <v/>
      </c>
      <c r="K241" s="5"/>
      <c r="L241" s="6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18" t="str">
        <f aca="false">IF(A242="","",COUNTIF(D242:I242,"Ha")/6)</f>
        <v/>
      </c>
      <c r="K242" s="5"/>
      <c r="L242" s="6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18" t="str">
        <f aca="false">IF(A243="","",COUNTIF(D243:I243,"Ha")/6)</f>
        <v/>
      </c>
      <c r="K243" s="5"/>
      <c r="L243" s="6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18" t="str">
        <f aca="false">IF(A244="","",COUNTIF(D244:I244,"Ha")/6)</f>
        <v/>
      </c>
      <c r="K244" s="5"/>
      <c r="L244" s="6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18" t="str">
        <f aca="false">IF(A245="","",COUNTIF(D245:I245,"Ha")/6)</f>
        <v/>
      </c>
      <c r="K245" s="5"/>
      <c r="L245" s="6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18" t="str">
        <f aca="false">IF(A246="","",COUNTIF(D246:I246,"Ha")/6)</f>
        <v/>
      </c>
      <c r="K246" s="5"/>
      <c r="L246" s="6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18" t="str">
        <f aca="false">IF(A247="","",COUNTIF(D247:I247,"Ha")/6)</f>
        <v/>
      </c>
      <c r="K247" s="5"/>
      <c r="L247" s="6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18" t="str">
        <f aca="false">IF(A248="","",COUNTIF(D248:I248,"Ha")/6)</f>
        <v/>
      </c>
      <c r="K248" s="5"/>
      <c r="L248" s="6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18" t="str">
        <f aca="false">IF(A249="","",COUNTIF(D249:I249,"Ha")/6)</f>
        <v/>
      </c>
      <c r="K249" s="5"/>
      <c r="L249" s="6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18" t="str">
        <f aca="false">IF(A250="","",COUNTIF(D250:I250,"Ha")/6)</f>
        <v/>
      </c>
      <c r="K250" s="5"/>
      <c r="L250" s="6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18" t="str">
        <f aca="false">IF(A251="","",COUNTIF(D251:I251,"Ha")/6)</f>
        <v/>
      </c>
      <c r="K251" s="5"/>
      <c r="L251" s="6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18" t="str">
        <f aca="false">IF(A252="","",COUNTIF(D252:I252,"Ha")/6)</f>
        <v/>
      </c>
      <c r="K252" s="5"/>
      <c r="L252" s="6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18" t="str">
        <f aca="false">IF(A253="","",COUNTIF(D253:I253,"Ha")/6)</f>
        <v/>
      </c>
      <c r="K253" s="5"/>
      <c r="L253" s="6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18" t="str">
        <f aca="false">IF(A254="","",COUNTIF(D254:I254,"Ha")/6)</f>
        <v/>
      </c>
      <c r="K254" s="5"/>
      <c r="L254" s="6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18" t="str">
        <f aca="false">IF(A255="","",COUNTIF(D255:I255,"Ha")/6)</f>
        <v/>
      </c>
      <c r="K255" s="5"/>
      <c r="L255" s="6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18" t="str">
        <f aca="false">IF(A256="","",COUNTIF(D256:I256,"Ha")/6)</f>
        <v/>
      </c>
      <c r="K256" s="5"/>
      <c r="L256" s="6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18" t="str">
        <f aca="false">IF(A257="","",COUNTIF(D257:I257,"Ha")/6)</f>
        <v/>
      </c>
      <c r="K257" s="5"/>
      <c r="L257" s="6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18" t="str">
        <f aca="false">IF(A258="","",COUNTIF(D258:I258,"Ha")/6)</f>
        <v/>
      </c>
      <c r="K258" s="5"/>
      <c r="L258" s="6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18" t="str">
        <f aca="false">IF(A259="","",COUNTIF(D259:I259,"Ha")/6)</f>
        <v/>
      </c>
      <c r="K259" s="5"/>
      <c r="L259" s="6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18" t="str">
        <f aca="false">IF(A260="","",COUNTIF(D260:I260,"Ha")/6)</f>
        <v/>
      </c>
      <c r="K260" s="5"/>
      <c r="L260" s="6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18" t="str">
        <f aca="false">IF(A261="","",COUNTIF(D261:I261,"Ha")/6)</f>
        <v/>
      </c>
      <c r="K261" s="5"/>
      <c r="L261" s="6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18" t="str">
        <f aca="false">IF(A262="","",COUNTIF(D262:I262,"Ha")/6)</f>
        <v/>
      </c>
      <c r="K262" s="5"/>
      <c r="L262" s="6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18" t="str">
        <f aca="false">IF(A263="","",COUNTIF(D263:I263,"Ha")/6)</f>
        <v/>
      </c>
      <c r="K263" s="5"/>
      <c r="L263" s="6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18" t="str">
        <f aca="false">IF(A264="","",COUNTIF(D264:I264,"Ha")/6)</f>
        <v/>
      </c>
      <c r="K264" s="5"/>
      <c r="L264" s="6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18" t="str">
        <f aca="false">IF(A265="","",COUNTIF(D265:I265,"Ha")/6)</f>
        <v/>
      </c>
      <c r="K265" s="5"/>
      <c r="L265" s="6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18" t="str">
        <f aca="false">IF(A266="","",COUNTIF(D266:I266,"Ha")/6)</f>
        <v/>
      </c>
      <c r="K266" s="5"/>
      <c r="L266" s="6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18" t="str">
        <f aca="false">IF(A267="","",COUNTIF(D267:I267,"Ha")/6)</f>
        <v/>
      </c>
      <c r="K267" s="5"/>
      <c r="L267" s="6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18" t="str">
        <f aca="false">IF(A268="","",COUNTIF(D268:I268,"Ha")/6)</f>
        <v/>
      </c>
      <c r="K268" s="5"/>
      <c r="L268" s="6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18" t="str">
        <f aca="false">IF(A269="","",COUNTIF(D269:I269,"Ha")/6)</f>
        <v/>
      </c>
      <c r="K269" s="5"/>
      <c r="L269" s="6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18" t="str">
        <f aca="false">IF(A270="","",COUNTIF(D270:I270,"Ha")/6)</f>
        <v/>
      </c>
      <c r="K270" s="5"/>
      <c r="L270" s="6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18" t="str">
        <f aca="false">IF(A271="","",COUNTIF(D271:I271,"Ha")/6)</f>
        <v/>
      </c>
      <c r="K271" s="5"/>
      <c r="L271" s="6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18" t="str">
        <f aca="false">IF(A272="","",COUNTIF(D272:I272,"Ha")/6)</f>
        <v/>
      </c>
      <c r="K272" s="5"/>
      <c r="L272" s="6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18" t="str">
        <f aca="false">IF(A273="","",COUNTIF(D273:I273,"Ha")/6)</f>
        <v/>
      </c>
      <c r="K273" s="5"/>
      <c r="L273" s="6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18" t="str">
        <f aca="false">IF(A274="","",COUNTIF(D274:I274,"Ha")/6)</f>
        <v/>
      </c>
      <c r="K274" s="5"/>
      <c r="L274" s="6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18" t="str">
        <f aca="false">IF(A275="","",COUNTIF(D275:I275,"Ha")/6)</f>
        <v/>
      </c>
      <c r="K275" s="5"/>
      <c r="L275" s="6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18" t="str">
        <f aca="false">IF(A276="","",COUNTIF(D276:I276,"Ha")/6)</f>
        <v/>
      </c>
      <c r="K276" s="5"/>
      <c r="L276" s="6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18" t="str">
        <f aca="false">IF(A277="","",COUNTIF(D277:I277,"Ha")/6)</f>
        <v/>
      </c>
      <c r="K277" s="5"/>
      <c r="L277" s="6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18" t="str">
        <f aca="false">IF(A278="","",COUNTIF(D278:I278,"Ha")/6)</f>
        <v/>
      </c>
      <c r="K278" s="5"/>
      <c r="L278" s="6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18" t="str">
        <f aca="false">IF(A279="","",COUNTIF(D279:I279,"Ha")/6)</f>
        <v/>
      </c>
      <c r="K279" s="5"/>
      <c r="L279" s="6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18" t="str">
        <f aca="false">IF(A280="","",COUNTIF(D280:I280,"Ha")/6)</f>
        <v/>
      </c>
      <c r="K280" s="5"/>
      <c r="L280" s="6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18" t="str">
        <f aca="false">IF(A281="","",COUNTIF(D281:I281,"Ha")/6)</f>
        <v/>
      </c>
      <c r="K281" s="5"/>
      <c r="L281" s="6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18" t="str">
        <f aca="false">IF(A282="","",COUNTIF(D282:I282,"Ha")/6)</f>
        <v/>
      </c>
      <c r="K282" s="5"/>
      <c r="L282" s="6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18" t="str">
        <f aca="false">IF(A283="","",COUNTIF(D283:I283,"Ha")/6)</f>
        <v/>
      </c>
      <c r="K283" s="5"/>
      <c r="L283" s="6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18" t="str">
        <f aca="false">IF(A284="","",COUNTIF(D284:I284,"Ha")/6)</f>
        <v/>
      </c>
      <c r="K284" s="5"/>
      <c r="L284" s="6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18" t="str">
        <f aca="false">IF(A285="","",COUNTIF(D285:I285,"Ha")/6)</f>
        <v/>
      </c>
      <c r="K285" s="5"/>
      <c r="L285" s="6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18" t="str">
        <f aca="false">IF(A286="","",COUNTIF(D286:I286,"Ha")/6)</f>
        <v/>
      </c>
      <c r="K286" s="5"/>
      <c r="L286" s="6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18" t="str">
        <f aca="false">IF(A287="","",COUNTIF(D287:I287,"Ha")/6)</f>
        <v/>
      </c>
      <c r="K287" s="5"/>
      <c r="L287" s="6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18" t="str">
        <f aca="false">IF(A288="","",COUNTIF(D288:I288,"Ha")/6)</f>
        <v/>
      </c>
      <c r="K288" s="5"/>
      <c r="L288" s="6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18" t="str">
        <f aca="false">IF(A289="","",COUNTIF(D289:I289,"Ha")/6)</f>
        <v/>
      </c>
      <c r="K289" s="5"/>
      <c r="L289" s="6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18" t="str">
        <f aca="false">IF(A290="","",COUNTIF(D290:I290,"Ha")/6)</f>
        <v/>
      </c>
      <c r="K290" s="5"/>
      <c r="L290" s="6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18" t="str">
        <f aca="false">IF(A291="","",COUNTIF(D291:I291,"Ha")/6)</f>
        <v/>
      </c>
      <c r="K291" s="5"/>
      <c r="L291" s="6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18" t="str">
        <f aca="false">IF(A292="","",COUNTIF(D292:I292,"Ha")/6)</f>
        <v/>
      </c>
      <c r="K292" s="5"/>
      <c r="L292" s="6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18" t="str">
        <f aca="false">IF(A293="","",COUNTIF(D293:I293,"Ha")/6)</f>
        <v/>
      </c>
      <c r="K293" s="5"/>
      <c r="L293" s="6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18" t="str">
        <f aca="false">IF(A294="","",COUNTIF(D294:I294,"Ha")/6)</f>
        <v/>
      </c>
      <c r="K294" s="5"/>
      <c r="L294" s="6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18" t="str">
        <f aca="false">IF(A295="","",COUNTIF(D295:I295,"Ha")/6)</f>
        <v/>
      </c>
      <c r="K295" s="5"/>
      <c r="L295" s="6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18" t="str">
        <f aca="false">IF(A296="","",COUNTIF(D296:I296,"Ha")/6)</f>
        <v/>
      </c>
      <c r="K296" s="5"/>
      <c r="L296" s="6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18" t="str">
        <f aca="false">IF(A297="","",COUNTIF(D297:I297,"Ha")/6)</f>
        <v/>
      </c>
      <c r="K297" s="5"/>
      <c r="L297" s="6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18" t="str">
        <f aca="false">IF(A298="","",COUNTIF(D298:I298,"Ha")/6)</f>
        <v/>
      </c>
      <c r="K298" s="5"/>
      <c r="L298" s="6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18" t="str">
        <f aca="false">IF(A299="","",COUNTIF(D299:I299,"Ha")/6)</f>
        <v/>
      </c>
      <c r="K299" s="5"/>
      <c r="L299" s="6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18" t="str">
        <f aca="false">IF(A300="","",COUNTIF(D300:I300,"Ha")/6)</f>
        <v/>
      </c>
      <c r="K300" s="5"/>
      <c r="L300" s="6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18" t="str">
        <f aca="false">IF(A301="","",COUNTIF(D301:I301,"Ha")/6)</f>
        <v/>
      </c>
      <c r="K301" s="5"/>
      <c r="L301" s="6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18" t="str">
        <f aca="false">IF(A302="","",COUNTIF(D302:I302,"Ha")/6)</f>
        <v/>
      </c>
      <c r="K302" s="5"/>
      <c r="L302" s="6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18" t="str">
        <f aca="false">IF(A303="","",COUNTIF(D303:I303,"Ha")/6)</f>
        <v/>
      </c>
      <c r="K303" s="5"/>
      <c r="L303" s="6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18" t="str">
        <f aca="false">IF(A304="","",COUNTIF(D304:I304,"Ha")/6)</f>
        <v/>
      </c>
      <c r="K304" s="5"/>
      <c r="L304" s="6"/>
    </row>
  </sheetData>
  <autoFilter ref="A4:L304"/>
  <mergeCells count="1">
    <mergeCell ref="A2:L2"/>
  </mergeCells>
  <conditionalFormatting sqref="J5:J304">
    <cfRule type="cellIs" priority="2" operator="lessThan" aboveAverage="0" equalAverage="0" bottom="0" percent="0" rank="0" text="" dxfId="6">
      <formula>1</formula>
    </cfRule>
    <cfRule type="cellIs" priority="3" operator="equal" aboveAverage="0" equalAverage="0" bottom="0" percent="0" rank="0" text="" dxfId="4">
      <formula>1</formula>
    </cfRule>
  </conditionalFormatting>
  <dataValidations count="1">
    <dataValidation allowBlank="true" errorStyle="stop" operator="between" showDropDown="false" showErrorMessage="false" showInputMessage="false" sqref="D5:I304" type="list">
      <formula1>"Ha,Yo‘q"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30" min="5" style="0" width="6"/>
  </cols>
  <sheetData>
    <row r="1" customFormat="false" ht="17.35" hidden="false" customHeight="false" outlineLevel="0" collapsed="false">
      <c r="A1" s="1" t="s">
        <v>159</v>
      </c>
    </row>
    <row r="2" customFormat="false" ht="30" hidden="false" customHeight="true" outlineLevel="0" collapsed="false">
      <c r="A2" s="12" t="s">
        <v>160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customFormat="false" ht="26.85" hidden="false" customHeight="false" outlineLevel="0" collapsed="false">
      <c r="A4" s="3" t="s">
        <v>2</v>
      </c>
      <c r="B4" s="3" t="s">
        <v>161</v>
      </c>
      <c r="C4" s="3" t="s">
        <v>162</v>
      </c>
      <c r="D4" s="3" t="s">
        <v>163</v>
      </c>
      <c r="E4" s="3" t="s">
        <v>164</v>
      </c>
      <c r="F4" s="3" t="s">
        <v>165</v>
      </c>
      <c r="G4" s="3" t="s">
        <v>166</v>
      </c>
      <c r="H4" s="3" t="s">
        <v>167</v>
      </c>
      <c r="I4" s="3" t="s">
        <v>168</v>
      </c>
      <c r="J4" s="3" t="s">
        <v>169</v>
      </c>
      <c r="K4" s="3" t="s">
        <v>170</v>
      </c>
      <c r="L4" s="3" t="s">
        <v>171</v>
      </c>
      <c r="M4" s="3" t="s">
        <v>172</v>
      </c>
      <c r="N4" s="3" t="s">
        <v>173</v>
      </c>
      <c r="O4" s="3" t="s">
        <v>174</v>
      </c>
      <c r="P4" s="3" t="s">
        <v>175</v>
      </c>
      <c r="Q4" s="3" t="s">
        <v>176</v>
      </c>
      <c r="R4" s="3" t="s">
        <v>177</v>
      </c>
      <c r="S4" s="3" t="s">
        <v>178</v>
      </c>
      <c r="T4" s="3" t="s">
        <v>179</v>
      </c>
      <c r="U4" s="3" t="s">
        <v>180</v>
      </c>
      <c r="V4" s="3" t="s">
        <v>181</v>
      </c>
      <c r="W4" s="3" t="s">
        <v>182</v>
      </c>
      <c r="X4" s="3" t="s">
        <v>183</v>
      </c>
      <c r="Y4" s="3" t="s">
        <v>184</v>
      </c>
      <c r="Z4" s="3" t="s">
        <v>185</v>
      </c>
      <c r="AA4" s="3" t="s">
        <v>186</v>
      </c>
      <c r="AB4" s="3" t="s">
        <v>187</v>
      </c>
      <c r="AC4" s="3" t="s">
        <v>188</v>
      </c>
      <c r="AD4" s="3" t="s">
        <v>189</v>
      </c>
    </row>
  </sheetData>
  <mergeCells count="1">
    <mergeCell ref="A2:N2"/>
  </mergeCells>
  <dataValidations count="1">
    <dataValidation allowBlank="true" error="1 dan 5 gacha butun son kiriting" errorStyle="stop" operator="between" showDropDown="false" showErrorMessage="true" showInputMessage="false" sqref="E5:AD10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190</v>
      </c>
    </row>
    <row r="2" customFormat="false" ht="42" hidden="false" customHeight="true" outlineLevel="0" collapsed="false">
      <c r="A2" s="12" t="s">
        <v>191</v>
      </c>
      <c r="B2" s="12"/>
      <c r="C2" s="12"/>
      <c r="D2" s="12"/>
      <c r="E2" s="12"/>
      <c r="F2" s="12"/>
      <c r="G2" s="12"/>
    </row>
    <row r="3" customFormat="false" ht="15" hidden="false" customHeight="false" outlineLevel="0" collapsed="false">
      <c r="A3" s="19" t="s">
        <v>192</v>
      </c>
      <c r="B3" s="19" t="n">
        <f aca="false">COUNTA('So‘rovnoma javoblari'!B5:B1504)</f>
        <v>0</v>
      </c>
    </row>
    <row r="5" customFormat="false" ht="26.85" hidden="false" customHeight="false" outlineLevel="0" collapsed="false">
      <c r="A5" s="3" t="s">
        <v>2</v>
      </c>
      <c r="B5" s="3" t="s">
        <v>3</v>
      </c>
      <c r="C5" s="3" t="s">
        <v>193</v>
      </c>
      <c r="D5" s="3" t="s">
        <v>194</v>
      </c>
      <c r="E5" s="3" t="s">
        <v>195</v>
      </c>
      <c r="F5" s="3" t="s">
        <v>196</v>
      </c>
      <c r="G5" s="3" t="s">
        <v>197</v>
      </c>
    </row>
    <row r="6" customFormat="false" ht="23.85" hidden="false" customHeight="false" outlineLevel="0" collapsed="false">
      <c r="A6" s="4" t="s">
        <v>164</v>
      </c>
      <c r="B6" s="4" t="s">
        <v>198</v>
      </c>
      <c r="C6" s="4" t="s">
        <v>199</v>
      </c>
      <c r="D6" s="4" t="n">
        <f aca="false">COUNT('So‘rovnoma javoblari'!E5:E1504)</f>
        <v>0</v>
      </c>
      <c r="E6" s="20" t="str">
        <f aca="false">IF(D6=0,"",AVERAGE('So‘rovnoma javoblari'!E5:E1504))</f>
        <v/>
      </c>
      <c r="F6" s="18" t="str">
        <f aca="false">IF(D6=0,"",COUNTIF('So‘rovnoma javoblari'!E5:E1504,"&gt;=4")/D6)</f>
        <v/>
      </c>
      <c r="G6" s="4" t="str">
        <f aca="false">IF(D6=0,"",IF(OR(E6&lt;3.5,F6&lt;0.6),"Chora kerak","Yaxshi"))</f>
        <v/>
      </c>
    </row>
    <row r="7" customFormat="false" ht="23.85" hidden="false" customHeight="false" outlineLevel="0" collapsed="false">
      <c r="A7" s="4" t="s">
        <v>165</v>
      </c>
      <c r="B7" s="4" t="s">
        <v>198</v>
      </c>
      <c r="C7" s="4" t="s">
        <v>200</v>
      </c>
      <c r="D7" s="4" t="n">
        <f aca="false">COUNT('So‘rovnoma javoblari'!F5:F1504)</f>
        <v>0</v>
      </c>
      <c r="E7" s="20" t="str">
        <f aca="false">IF(D7=0,"",AVERAGE('So‘rovnoma javoblari'!F5:F1504))</f>
        <v/>
      </c>
      <c r="F7" s="18" t="str">
        <f aca="false">IF(D7=0,"",COUNTIF('So‘rovnoma javoblari'!F5:F1504,"&gt;=4")/D7)</f>
        <v/>
      </c>
      <c r="G7" s="4" t="str">
        <f aca="false">IF(D7=0,"",IF(OR(E7&lt;3.5,F7&lt;0.6),"Chora kerak","Yaxshi"))</f>
        <v/>
      </c>
    </row>
    <row r="8" customFormat="false" ht="23.85" hidden="false" customHeight="false" outlineLevel="0" collapsed="false">
      <c r="A8" s="4" t="s">
        <v>166</v>
      </c>
      <c r="B8" s="4" t="s">
        <v>198</v>
      </c>
      <c r="C8" s="4" t="s">
        <v>201</v>
      </c>
      <c r="D8" s="4" t="n">
        <f aca="false">COUNT('So‘rovnoma javoblari'!G5:G1504)</f>
        <v>0</v>
      </c>
      <c r="E8" s="20" t="str">
        <f aca="false">IF(D8=0,"",AVERAGE('So‘rovnoma javoblari'!G5:G1504))</f>
        <v/>
      </c>
      <c r="F8" s="18" t="str">
        <f aca="false">IF(D8=0,"",COUNTIF('So‘rovnoma javoblari'!G5:G1504,"&gt;=4")/D8)</f>
        <v/>
      </c>
      <c r="G8" s="4" t="str">
        <f aca="false">IF(D8=0,"",IF(OR(E8&lt;3.5,F8&lt;0.6),"Chora kerak","Yaxshi"))</f>
        <v/>
      </c>
    </row>
    <row r="9" customFormat="false" ht="23.85" hidden="false" customHeight="false" outlineLevel="0" collapsed="false">
      <c r="A9" s="4" t="s">
        <v>167</v>
      </c>
      <c r="B9" s="4" t="s">
        <v>198</v>
      </c>
      <c r="C9" s="4" t="s">
        <v>202</v>
      </c>
      <c r="D9" s="4" t="n">
        <f aca="false">COUNT('So‘rovnoma javoblari'!H5:H1504)</f>
        <v>0</v>
      </c>
      <c r="E9" s="20" t="str">
        <f aca="false">IF(D9=0,"",AVERAGE('So‘rovnoma javoblari'!H5:H1504))</f>
        <v/>
      </c>
      <c r="F9" s="18" t="str">
        <f aca="false">IF(D9=0,"",COUNTIF('So‘rovnoma javoblari'!H5:H1504,"&gt;=4")/D9)</f>
        <v/>
      </c>
      <c r="G9" s="4" t="str">
        <f aca="false">IF(D9=0,"",IF(OR(E9&lt;3.5,F9&lt;0.6),"Chora kerak","Yaxshi"))</f>
        <v/>
      </c>
    </row>
    <row r="10" customFormat="false" ht="23.85" hidden="false" customHeight="false" outlineLevel="0" collapsed="false">
      <c r="A10" s="4" t="s">
        <v>168</v>
      </c>
      <c r="B10" s="4" t="s">
        <v>198</v>
      </c>
      <c r="C10" s="4" t="s">
        <v>203</v>
      </c>
      <c r="D10" s="4" t="n">
        <f aca="false">COUNT('So‘rovnoma javoblari'!I5:I1504)</f>
        <v>0</v>
      </c>
      <c r="E10" s="20" t="str">
        <f aca="false">IF(D10=0,"",AVERAGE('So‘rovnoma javoblari'!I5:I1504))</f>
        <v/>
      </c>
      <c r="F10" s="18" t="str">
        <f aca="false">IF(D10=0,"",COUNTIF('So‘rovnoma javoblari'!I5:I1504,"&gt;=4")/D10)</f>
        <v/>
      </c>
      <c r="G10" s="4" t="str">
        <f aca="false">IF(D10=0,"",IF(OR(E10&lt;3.5,F10&lt;0.6),"Chora kerak","Yaxshi"))</f>
        <v/>
      </c>
    </row>
    <row r="11" customFormat="false" ht="23.85" hidden="false" customHeight="false" outlineLevel="0" collapsed="false">
      <c r="A11" s="4" t="s">
        <v>169</v>
      </c>
      <c r="B11" s="4" t="s">
        <v>204</v>
      </c>
      <c r="C11" s="4" t="s">
        <v>205</v>
      </c>
      <c r="D11" s="4" t="n">
        <f aca="false">COUNT('So‘rovnoma javoblari'!J5:J1504)</f>
        <v>0</v>
      </c>
      <c r="E11" s="20" t="str">
        <f aca="false">IF(D11=0,"",AVERAGE('So‘rovnoma javoblari'!J5:J1504))</f>
        <v/>
      </c>
      <c r="F11" s="18" t="str">
        <f aca="false">IF(D11=0,"",COUNTIF('So‘rovnoma javoblari'!J5:J1504,"&gt;=4")/D11)</f>
        <v/>
      </c>
      <c r="G11" s="4" t="str">
        <f aca="false">IF(D11=0,"",IF(OR(E11&lt;3.5,F11&lt;0.6),"Chora kerak","Yaxshi"))</f>
        <v/>
      </c>
    </row>
    <row r="12" customFormat="false" ht="23.85" hidden="false" customHeight="false" outlineLevel="0" collapsed="false">
      <c r="A12" s="4" t="s">
        <v>170</v>
      </c>
      <c r="B12" s="4" t="s">
        <v>204</v>
      </c>
      <c r="C12" s="4" t="s">
        <v>206</v>
      </c>
      <c r="D12" s="4" t="n">
        <f aca="false">COUNT('So‘rovnoma javoblari'!K5:K1504)</f>
        <v>0</v>
      </c>
      <c r="E12" s="20" t="str">
        <f aca="false">IF(D12=0,"",AVERAGE('So‘rovnoma javoblari'!K5:K1504))</f>
        <v/>
      </c>
      <c r="F12" s="18" t="str">
        <f aca="false">IF(D12=0,"",COUNTIF('So‘rovnoma javoblari'!K5:K1504,"&gt;=4")/D12)</f>
        <v/>
      </c>
      <c r="G12" s="4" t="str">
        <f aca="false">IF(D12=0,"",IF(OR(E12&lt;3.5,F12&lt;0.6),"Chora kerak","Yaxshi"))</f>
        <v/>
      </c>
    </row>
    <row r="13" customFormat="false" ht="23.85" hidden="false" customHeight="false" outlineLevel="0" collapsed="false">
      <c r="A13" s="4" t="s">
        <v>171</v>
      </c>
      <c r="B13" s="4" t="s">
        <v>204</v>
      </c>
      <c r="C13" s="4" t="s">
        <v>207</v>
      </c>
      <c r="D13" s="4" t="n">
        <f aca="false">COUNT('So‘rovnoma javoblari'!L5:L1504)</f>
        <v>0</v>
      </c>
      <c r="E13" s="20" t="str">
        <f aca="false">IF(D13=0,"",AVERAGE('So‘rovnoma javoblari'!L5:L1504))</f>
        <v/>
      </c>
      <c r="F13" s="18" t="str">
        <f aca="false">IF(D13=0,"",COUNTIF('So‘rovnoma javoblari'!L5:L1504,"&gt;=4")/D13)</f>
        <v/>
      </c>
      <c r="G13" s="4" t="str">
        <f aca="false">IF(D13=0,"",IF(OR(E13&lt;3.5,F13&lt;0.6),"Chora kerak","Yaxshi"))</f>
        <v/>
      </c>
    </row>
    <row r="14" customFormat="false" ht="23.85" hidden="false" customHeight="false" outlineLevel="0" collapsed="false">
      <c r="A14" s="4" t="s">
        <v>172</v>
      </c>
      <c r="B14" s="4" t="s">
        <v>204</v>
      </c>
      <c r="C14" s="4" t="s">
        <v>208</v>
      </c>
      <c r="D14" s="4" t="n">
        <f aca="false">COUNT('So‘rovnoma javoblari'!M5:M1504)</f>
        <v>0</v>
      </c>
      <c r="E14" s="20" t="str">
        <f aca="false">IF(D14=0,"",AVERAGE('So‘rovnoma javoblari'!M5:M1504))</f>
        <v/>
      </c>
      <c r="F14" s="18" t="str">
        <f aca="false">IF(D14=0,"",COUNTIF('So‘rovnoma javoblari'!M5:M1504,"&gt;=4")/D14)</f>
        <v/>
      </c>
      <c r="G14" s="4" t="str">
        <f aca="false">IF(D14=0,"",IF(OR(E14&lt;3.5,F14&lt;0.6),"Chora kerak","Yaxshi"))</f>
        <v/>
      </c>
    </row>
    <row r="15" customFormat="false" ht="23.85" hidden="false" customHeight="false" outlineLevel="0" collapsed="false">
      <c r="A15" s="4" t="s">
        <v>173</v>
      </c>
      <c r="B15" s="4" t="s">
        <v>204</v>
      </c>
      <c r="C15" s="4" t="s">
        <v>209</v>
      </c>
      <c r="D15" s="4" t="n">
        <f aca="false">COUNT('So‘rovnoma javoblari'!N5:N1504)</f>
        <v>0</v>
      </c>
      <c r="E15" s="20" t="str">
        <f aca="false">IF(D15=0,"",AVERAGE('So‘rovnoma javoblari'!N5:N1504))</f>
        <v/>
      </c>
      <c r="F15" s="18" t="str">
        <f aca="false">IF(D15=0,"",COUNTIF('So‘rovnoma javoblari'!N5:N1504,"&gt;=4")/D15)</f>
        <v/>
      </c>
      <c r="G15" s="4" t="str">
        <f aca="false">IF(D15=0,"",IF(OR(E15&lt;3.5,F15&lt;0.6),"Chora kerak","Yaxshi"))</f>
        <v/>
      </c>
    </row>
    <row r="16" customFormat="false" ht="23.85" hidden="false" customHeight="false" outlineLevel="0" collapsed="false">
      <c r="A16" s="4" t="s">
        <v>174</v>
      </c>
      <c r="B16" s="4" t="s">
        <v>210</v>
      </c>
      <c r="C16" s="4" t="s">
        <v>211</v>
      </c>
      <c r="D16" s="4" t="n">
        <f aca="false">COUNT('So‘rovnoma javoblari'!O5:O1504)</f>
        <v>0</v>
      </c>
      <c r="E16" s="20" t="str">
        <f aca="false">IF(D16=0,"",AVERAGE('So‘rovnoma javoblari'!O5:O1504))</f>
        <v/>
      </c>
      <c r="F16" s="18" t="str">
        <f aca="false">IF(D16=0,"",COUNTIF('So‘rovnoma javoblari'!O5:O1504,"&gt;=4")/D16)</f>
        <v/>
      </c>
      <c r="G16" s="4" t="str">
        <f aca="false">IF(D16=0,"",IF(OR(E16&lt;3.5,F16&lt;0.6),"Chora kerak","Yaxshi"))</f>
        <v/>
      </c>
    </row>
    <row r="17" customFormat="false" ht="23.85" hidden="false" customHeight="false" outlineLevel="0" collapsed="false">
      <c r="A17" s="4" t="s">
        <v>175</v>
      </c>
      <c r="B17" s="4" t="s">
        <v>210</v>
      </c>
      <c r="C17" s="4" t="s">
        <v>212</v>
      </c>
      <c r="D17" s="4" t="n">
        <f aca="false">COUNT('So‘rovnoma javoblari'!P5:P1504)</f>
        <v>0</v>
      </c>
      <c r="E17" s="20" t="str">
        <f aca="false">IF(D17=0,"",AVERAGE('So‘rovnoma javoblari'!P5:P1504))</f>
        <v/>
      </c>
      <c r="F17" s="18" t="str">
        <f aca="false">IF(D17=0,"",COUNTIF('So‘rovnoma javoblari'!P5:P1504,"&gt;=4")/D17)</f>
        <v/>
      </c>
      <c r="G17" s="4" t="str">
        <f aca="false">IF(D17=0,"",IF(OR(E17&lt;3.5,F17&lt;0.6),"Chora kerak","Yaxshi"))</f>
        <v/>
      </c>
    </row>
    <row r="18" customFormat="false" ht="23.85" hidden="false" customHeight="false" outlineLevel="0" collapsed="false">
      <c r="A18" s="4" t="s">
        <v>176</v>
      </c>
      <c r="B18" s="4" t="s">
        <v>210</v>
      </c>
      <c r="C18" s="4" t="s">
        <v>213</v>
      </c>
      <c r="D18" s="4" t="n">
        <f aca="false">COUNT('So‘rovnoma javoblari'!Q5:Q1504)</f>
        <v>0</v>
      </c>
      <c r="E18" s="20" t="str">
        <f aca="false">IF(D18=0,"",AVERAGE('So‘rovnoma javoblari'!Q5:Q1504))</f>
        <v/>
      </c>
      <c r="F18" s="18" t="str">
        <f aca="false">IF(D18=0,"",COUNTIF('So‘rovnoma javoblari'!Q5:Q1504,"&gt;=4")/D18)</f>
        <v/>
      </c>
      <c r="G18" s="4" t="str">
        <f aca="false">IF(D18=0,"",IF(OR(E18&lt;3.5,F18&lt;0.6),"Chora kerak","Yaxshi"))</f>
        <v/>
      </c>
    </row>
    <row r="19" customFormat="false" ht="23.85" hidden="false" customHeight="false" outlineLevel="0" collapsed="false">
      <c r="A19" s="4" t="s">
        <v>177</v>
      </c>
      <c r="B19" s="4" t="s">
        <v>210</v>
      </c>
      <c r="C19" s="4" t="s">
        <v>214</v>
      </c>
      <c r="D19" s="4" t="n">
        <f aca="false">COUNT('So‘rovnoma javoblari'!R5:R1504)</f>
        <v>0</v>
      </c>
      <c r="E19" s="20" t="str">
        <f aca="false">IF(D19=0,"",AVERAGE('So‘rovnoma javoblari'!R5:R1504))</f>
        <v/>
      </c>
      <c r="F19" s="18" t="str">
        <f aca="false">IF(D19=0,"",COUNTIF('So‘rovnoma javoblari'!R5:R1504,"&gt;=4")/D19)</f>
        <v/>
      </c>
      <c r="G19" s="4" t="str">
        <f aca="false">IF(D19=0,"",IF(OR(E19&lt;3.5,F19&lt;0.6),"Chora kerak","Yaxshi"))</f>
        <v/>
      </c>
    </row>
    <row r="20" customFormat="false" ht="23.85" hidden="false" customHeight="false" outlineLevel="0" collapsed="false">
      <c r="A20" s="4" t="s">
        <v>178</v>
      </c>
      <c r="B20" s="4" t="s">
        <v>210</v>
      </c>
      <c r="C20" s="4" t="s">
        <v>215</v>
      </c>
      <c r="D20" s="4" t="n">
        <f aca="false">COUNT('So‘rovnoma javoblari'!S5:S1504)</f>
        <v>0</v>
      </c>
      <c r="E20" s="20" t="str">
        <f aca="false">IF(D20=0,"",AVERAGE('So‘rovnoma javoblari'!S5:S1504))</f>
        <v/>
      </c>
      <c r="F20" s="18" t="str">
        <f aca="false">IF(D20=0,"",COUNTIF('So‘rovnoma javoblari'!S5:S1504,"&gt;=4")/D20)</f>
        <v/>
      </c>
      <c r="G20" s="4" t="str">
        <f aca="false">IF(D20=0,"",IF(OR(E20&lt;3.5,F20&lt;0.6),"Chora kerak","Yaxshi"))</f>
        <v/>
      </c>
    </row>
    <row r="21" customFormat="false" ht="23.85" hidden="false" customHeight="false" outlineLevel="0" collapsed="false">
      <c r="A21" s="4" t="s">
        <v>179</v>
      </c>
      <c r="B21" s="4" t="s">
        <v>216</v>
      </c>
      <c r="C21" s="4" t="s">
        <v>217</v>
      </c>
      <c r="D21" s="4" t="n">
        <f aca="false">COUNT('So‘rovnoma javoblari'!T5:T1504)</f>
        <v>0</v>
      </c>
      <c r="E21" s="20" t="str">
        <f aca="false">IF(D21=0,"",AVERAGE('So‘rovnoma javoblari'!T5:T1504))</f>
        <v/>
      </c>
      <c r="F21" s="18" t="str">
        <f aca="false">IF(D21=0,"",COUNTIF('So‘rovnoma javoblari'!T5:T1504,"&gt;=4")/D21)</f>
        <v/>
      </c>
      <c r="G21" s="4" t="str">
        <f aca="false">IF(D21=0,"",IF(OR(E21&lt;3.5,F21&lt;0.6),"Chora kerak","Yaxshi"))</f>
        <v/>
      </c>
    </row>
    <row r="22" customFormat="false" ht="23.85" hidden="false" customHeight="false" outlineLevel="0" collapsed="false">
      <c r="A22" s="4" t="s">
        <v>180</v>
      </c>
      <c r="B22" s="4" t="s">
        <v>216</v>
      </c>
      <c r="C22" s="4" t="s">
        <v>218</v>
      </c>
      <c r="D22" s="4" t="n">
        <f aca="false">COUNT('So‘rovnoma javoblari'!U5:U1504)</f>
        <v>0</v>
      </c>
      <c r="E22" s="20" t="str">
        <f aca="false">IF(D22=0,"",AVERAGE('So‘rovnoma javoblari'!U5:U1504))</f>
        <v/>
      </c>
      <c r="F22" s="18" t="str">
        <f aca="false">IF(D22=0,"",COUNTIF('So‘rovnoma javoblari'!U5:U1504,"&gt;=4")/D22)</f>
        <v/>
      </c>
      <c r="G22" s="4" t="str">
        <f aca="false">IF(D22=0,"",IF(OR(E22&lt;3.5,F22&lt;0.6),"Chora kerak","Yaxshi"))</f>
        <v/>
      </c>
    </row>
    <row r="23" customFormat="false" ht="23.85" hidden="false" customHeight="false" outlineLevel="0" collapsed="false">
      <c r="A23" s="4" t="s">
        <v>181</v>
      </c>
      <c r="B23" s="4" t="s">
        <v>216</v>
      </c>
      <c r="C23" s="4" t="s">
        <v>219</v>
      </c>
      <c r="D23" s="4" t="n">
        <f aca="false">COUNT('So‘rovnoma javoblari'!V5:V1504)</f>
        <v>0</v>
      </c>
      <c r="E23" s="20" t="str">
        <f aca="false">IF(D23=0,"",AVERAGE('So‘rovnoma javoblari'!V5:V1504))</f>
        <v/>
      </c>
      <c r="F23" s="18" t="str">
        <f aca="false">IF(D23=0,"",COUNTIF('So‘rovnoma javoblari'!V5:V1504,"&gt;=4")/D23)</f>
        <v/>
      </c>
      <c r="G23" s="4" t="str">
        <f aca="false">IF(D23=0,"",IF(OR(E23&lt;3.5,F23&lt;0.6),"Chora kerak","Yaxshi"))</f>
        <v/>
      </c>
    </row>
    <row r="24" customFormat="false" ht="23.85" hidden="false" customHeight="false" outlineLevel="0" collapsed="false">
      <c r="A24" s="4" t="s">
        <v>182</v>
      </c>
      <c r="B24" s="4" t="s">
        <v>216</v>
      </c>
      <c r="C24" s="4" t="s">
        <v>220</v>
      </c>
      <c r="D24" s="4" t="n">
        <f aca="false">COUNT('So‘rovnoma javoblari'!W5:W1504)</f>
        <v>0</v>
      </c>
      <c r="E24" s="20" t="str">
        <f aca="false">IF(D24=0,"",AVERAGE('So‘rovnoma javoblari'!W5:W1504))</f>
        <v/>
      </c>
      <c r="F24" s="18" t="str">
        <f aca="false">IF(D24=0,"",COUNTIF('So‘rovnoma javoblari'!W5:W1504,"&gt;=4")/D24)</f>
        <v/>
      </c>
      <c r="G24" s="4" t="str">
        <f aca="false">IF(D24=0,"",IF(OR(E24&lt;3.5,F24&lt;0.6),"Chora kerak","Yaxshi"))</f>
        <v/>
      </c>
    </row>
    <row r="25" customFormat="false" ht="23.85" hidden="false" customHeight="false" outlineLevel="0" collapsed="false">
      <c r="A25" s="4" t="s">
        <v>183</v>
      </c>
      <c r="B25" s="4" t="s">
        <v>216</v>
      </c>
      <c r="C25" s="4" t="s">
        <v>221</v>
      </c>
      <c r="D25" s="4" t="n">
        <f aca="false">COUNT('So‘rovnoma javoblari'!X5:X1504)</f>
        <v>0</v>
      </c>
      <c r="E25" s="20" t="str">
        <f aca="false">IF(D25=0,"",AVERAGE('So‘rovnoma javoblari'!X5:X1504))</f>
        <v/>
      </c>
      <c r="F25" s="18" t="str">
        <f aca="false">IF(D25=0,"",COUNTIF('So‘rovnoma javoblari'!X5:X1504,"&gt;=4")/D25)</f>
        <v/>
      </c>
      <c r="G25" s="4" t="str">
        <f aca="false">IF(D25=0,"",IF(OR(E25&lt;3.5,F25&lt;0.6),"Chora kerak","Yaxshi"))</f>
        <v/>
      </c>
    </row>
    <row r="26" customFormat="false" ht="23.85" hidden="false" customHeight="false" outlineLevel="0" collapsed="false">
      <c r="A26" s="4" t="s">
        <v>184</v>
      </c>
      <c r="B26" s="4" t="s">
        <v>216</v>
      </c>
      <c r="C26" s="4" t="s">
        <v>222</v>
      </c>
      <c r="D26" s="4" t="n">
        <f aca="false">COUNT('So‘rovnoma javoblari'!Y5:Y1504)</f>
        <v>0</v>
      </c>
      <c r="E26" s="20" t="str">
        <f aca="false">IF(D26=0,"",AVERAGE('So‘rovnoma javoblari'!Y5:Y1504))</f>
        <v/>
      </c>
      <c r="F26" s="18" t="str">
        <f aca="false">IF(D26=0,"",COUNTIF('So‘rovnoma javoblari'!Y5:Y1504,"&gt;=4")/D26)</f>
        <v/>
      </c>
      <c r="G26" s="4" t="str">
        <f aca="false">IF(D26=0,"",IF(OR(E26&lt;3.5,F26&lt;0.6),"Chora kerak","Yaxshi"))</f>
        <v/>
      </c>
    </row>
    <row r="27" customFormat="false" ht="15" hidden="false" customHeight="false" outlineLevel="0" collapsed="false">
      <c r="A27" s="4" t="s">
        <v>185</v>
      </c>
      <c r="B27" s="4" t="s">
        <v>223</v>
      </c>
      <c r="C27" s="4" t="s">
        <v>224</v>
      </c>
      <c r="D27" s="4" t="n">
        <f aca="false">COUNT('So‘rovnoma javoblari'!Z5:Z1504)</f>
        <v>0</v>
      </c>
      <c r="E27" s="20" t="str">
        <f aca="false">IF(D27=0,"",AVERAGE('So‘rovnoma javoblari'!Z5:Z1504))</f>
        <v/>
      </c>
      <c r="F27" s="18" t="str">
        <f aca="false">IF(D27=0,"",COUNTIF('So‘rovnoma javoblari'!Z5:Z1504,"&gt;=4")/D27)</f>
        <v/>
      </c>
      <c r="G27" s="4" t="str">
        <f aca="false">IF(D27=0,"",IF(OR(E27&lt;3.5,F27&lt;0.6),"Chora kerak","Yaxshi"))</f>
        <v/>
      </c>
    </row>
    <row r="28" customFormat="false" ht="15" hidden="false" customHeight="false" outlineLevel="0" collapsed="false">
      <c r="A28" s="4" t="s">
        <v>186</v>
      </c>
      <c r="B28" s="4" t="s">
        <v>223</v>
      </c>
      <c r="C28" s="4" t="s">
        <v>225</v>
      </c>
      <c r="D28" s="4" t="n">
        <f aca="false">COUNT('So‘rovnoma javoblari'!AA5:AA1504)</f>
        <v>0</v>
      </c>
      <c r="E28" s="20" t="str">
        <f aca="false">IF(D28=0,"",AVERAGE('So‘rovnoma javoblari'!AA5:AA1504))</f>
        <v/>
      </c>
      <c r="F28" s="18" t="str">
        <f aca="false">IF(D28=0,"",COUNTIF('So‘rovnoma javoblari'!AA5:AA1504,"&gt;=4")/D28)</f>
        <v/>
      </c>
      <c r="G28" s="4" t="str">
        <f aca="false">IF(D28=0,"",IF(OR(E28&lt;3.5,F28&lt;0.6),"Chora kerak","Yaxshi"))</f>
        <v/>
      </c>
    </row>
    <row r="29" customFormat="false" ht="23.85" hidden="false" customHeight="false" outlineLevel="0" collapsed="false">
      <c r="A29" s="4" t="s">
        <v>187</v>
      </c>
      <c r="B29" s="4" t="s">
        <v>223</v>
      </c>
      <c r="C29" s="4" t="s">
        <v>226</v>
      </c>
      <c r="D29" s="4" t="n">
        <f aca="false">COUNT('So‘rovnoma javoblari'!AB5:AB1504)</f>
        <v>0</v>
      </c>
      <c r="E29" s="20" t="str">
        <f aca="false">IF(D29=0,"",AVERAGE('So‘rovnoma javoblari'!AB5:AB1504))</f>
        <v/>
      </c>
      <c r="F29" s="18" t="str">
        <f aca="false">IF(D29=0,"",COUNTIF('So‘rovnoma javoblari'!AB5:AB1504,"&gt;=4")/D29)</f>
        <v/>
      </c>
      <c r="G29" s="4" t="str">
        <f aca="false">IF(D29=0,"",IF(OR(E29&lt;3.5,F29&lt;0.6),"Chora kerak","Yaxshi"))</f>
        <v/>
      </c>
    </row>
    <row r="30" customFormat="false" ht="15" hidden="false" customHeight="false" outlineLevel="0" collapsed="false">
      <c r="A30" s="4" t="s">
        <v>188</v>
      </c>
      <c r="B30" s="4" t="s">
        <v>227</v>
      </c>
      <c r="C30" s="4" t="s">
        <v>228</v>
      </c>
      <c r="D30" s="4" t="n">
        <f aca="false">COUNT('So‘rovnoma javoblari'!AC5:AC1504)</f>
        <v>0</v>
      </c>
      <c r="E30" s="20" t="str">
        <f aca="false">IF(D30=0,"",AVERAGE('So‘rovnoma javoblari'!AC5:AC1504))</f>
        <v/>
      </c>
      <c r="F30" s="18" t="str">
        <f aca="false">IF(D30=0,"",COUNTIF('So‘rovnoma javoblari'!AC5:AC1504,"&gt;=4")/D30)</f>
        <v/>
      </c>
      <c r="G30" s="4" t="str">
        <f aca="false">IF(D30=0,"",IF(OR(E30&lt;3.5,F30&lt;0.6),"Chora kerak","Yaxshi"))</f>
        <v/>
      </c>
    </row>
    <row r="31" customFormat="false" ht="15" hidden="false" customHeight="false" outlineLevel="0" collapsed="false">
      <c r="A31" s="4" t="s">
        <v>189</v>
      </c>
      <c r="B31" s="4" t="s">
        <v>227</v>
      </c>
      <c r="C31" s="4" t="s">
        <v>229</v>
      </c>
      <c r="D31" s="4" t="n">
        <f aca="false">COUNT('So‘rovnoma javoblari'!AD5:AD1504)</f>
        <v>0</v>
      </c>
      <c r="E31" s="20" t="str">
        <f aca="false">IF(D31=0,"",AVERAGE('So‘rovnoma javoblari'!AD5:AD1504))</f>
        <v/>
      </c>
      <c r="F31" s="18" t="str">
        <f aca="false">IF(D31=0,"",COUNTIF('So‘rovnoma javoblari'!AD5:AD1504,"&gt;=4")/D31)</f>
        <v/>
      </c>
      <c r="G31" s="4" t="str">
        <f aca="false">IF(D31=0,"",IF(OR(E31&lt;3.5,F31&lt;0.6),"Chora kerak","Yaxshi"))</f>
        <v/>
      </c>
    </row>
    <row r="32" customFormat="false" ht="15" hidden="false" customHeight="false" outlineLevel="0" collapsed="false">
      <c r="C32" s="19" t="s">
        <v>230</v>
      </c>
      <c r="E32" s="21" t="str">
        <f aca="false">IFERROR(AVERAGE(E6:E31),"")</f>
        <v/>
      </c>
      <c r="F32" s="22" t="str">
        <f aca="false">IFERROR(AVERAGE(F6:F31),"")</f>
        <v/>
      </c>
    </row>
  </sheetData>
  <mergeCells count="1">
    <mergeCell ref="A2:G2"/>
  </mergeCells>
  <conditionalFormatting sqref="G6:G31">
    <cfRule type="cellIs" priority="2" operator="equal" aboveAverage="0" equalAverage="0" bottom="0" percent="0" rank="0" text="" dxfId="6">
      <formula>"Chora kerak"</formula>
    </cfRule>
    <cfRule type="cellIs" priority="3" operator="equal" aboveAverage="0" equalAverage="0" bottom="0" percent="0" rank="0" text="" dxfId="4">
      <formula>"Yaxshi"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2026-10-19T07:48:43Z</dcterms:created>
  <dc:creator>openpyxl</dc:creator>
  <dc:description/>
  <dc:language>en-US</dc:language>
  <cp:lastModifiedBy/>
  <dcterms:modified xsi:type="dcterms:W3CDTF">2026-10-19T07:48:44Z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